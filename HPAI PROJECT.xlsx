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EDAEF55EEF92B718/المستندات/"/>
    </mc:Choice>
  </mc:AlternateContent>
  <xr:revisionPtr revIDLastSave="1" documentId="8_{0F1F8349-4F4B-4D71-8150-A1CD372087F3}" xr6:coauthVersionLast="47" xr6:coauthVersionMax="47" xr10:uidLastSave="{54942528-2990-4F43-AFF7-09E6ACEBD8D9}"/>
  <bookViews>
    <workbookView xWindow="-110" yWindow="-110" windowWidth="19420" windowHeight="10300" firstSheet="2" activeTab="5" xr2:uid="{B7088F8F-C26A-4C02-9B64-A8D15A2438EC}"/>
  </bookViews>
  <sheets>
    <sheet name="HPAI" sheetId="1" r:id="rId1"/>
    <sheet name="Analysis" sheetId="2" r:id="rId2"/>
    <sheet name="Analysis 1" sheetId="3" r:id="rId3"/>
    <sheet name="Map Pivot" sheetId="7" r:id="rId4"/>
    <sheet name="Map Data" sheetId="6" r:id="rId5"/>
    <sheet name="Dashboard" sheetId="4" r:id="rId6"/>
  </sheets>
  <definedNames>
    <definedName name="_xlnm._FilterDatabase" localSheetId="0" hidden="1">HPAI!$A$1:$G$339</definedName>
    <definedName name="_xlchart.v5.0" hidden="1">'Map Data'!$L$1</definedName>
    <definedName name="_xlchart.v5.1" hidden="1">'Map Data'!$L$2:$L$33</definedName>
    <definedName name="_xlchart.v5.10" hidden="1">'Map Data'!$M$1</definedName>
    <definedName name="_xlchart.v5.11" hidden="1">'Map Data'!$M$2:$M$33</definedName>
    <definedName name="_xlchart.v5.12" hidden="1">'Map Data'!$A$1</definedName>
    <definedName name="_xlchart.v5.13" hidden="1">'Map Data'!$A$2:$A$33</definedName>
    <definedName name="_xlchart.v5.14" hidden="1">'Map Data'!$B$1</definedName>
    <definedName name="_xlchart.v5.15" hidden="1">'Map Data'!$B$2:$B$33</definedName>
    <definedName name="_xlchart.v5.2" hidden="1">'Map Data'!$M$1</definedName>
    <definedName name="_xlchart.v5.3" hidden="1">'Map Data'!$M$2:$M$33</definedName>
    <definedName name="_xlchart.v5.4" hidden="1">'Map Data'!$A$1</definedName>
    <definedName name="_xlchart.v5.5" hidden="1">'Map Data'!$A$2:$A$33</definedName>
    <definedName name="_xlchart.v5.6" hidden="1">'Map Data'!$B$1</definedName>
    <definedName name="_xlchart.v5.7" hidden="1">'Map Data'!$B$2:$B$33</definedName>
    <definedName name="_xlchart.v5.8" hidden="1">'Map Data'!$L$1</definedName>
    <definedName name="_xlchart.v5.9" hidden="1">'Map Data'!$L$2:$L$33</definedName>
    <definedName name="Slicer_Geopolitical_Zone">#N/A</definedName>
    <definedName name="Slicer_Geopolitical_Zone1">#N/A</definedName>
    <definedName name="Slicer_Year1">#N/A</definedName>
    <definedName name="Slicer_Year2">#N/A</definedName>
    <definedName name="Slicer_Year3">#N/A</definedName>
  </definedNames>
  <calcPr calcId="191029"/>
  <pivotCaches>
    <pivotCache cacheId="153" r:id="rId7"/>
  </pivotCaches>
  <extLst>
    <ext xmlns:x14="http://schemas.microsoft.com/office/spreadsheetml/2009/9/main" uri="{876F7934-8845-4945-9796-88D515C7AA90}">
      <x14:pivotCaches>
        <pivotCache cacheId="125" r:id="rId8"/>
      </x14:pivotCaches>
    </ex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2" i="1"/>
  <c r="G177" i="1" a="1"/>
  <c r="G177" i="1" s="1"/>
  <c r="G3" i="1" a="1"/>
  <c r="G3" i="1" s="1"/>
  <c r="G4" i="1" a="1"/>
  <c r="G4" i="1"/>
  <c r="G5" i="1" a="1"/>
  <c r="G5" i="1" s="1"/>
  <c r="G6" i="1" a="1"/>
  <c r="G6" i="1"/>
  <c r="G7" i="1" a="1"/>
  <c r="G7" i="1" s="1"/>
  <c r="G8" i="1" a="1"/>
  <c r="G8" i="1" s="1"/>
  <c r="G9" i="1" a="1"/>
  <c r="G9" i="1" s="1"/>
  <c r="G10" i="1" a="1"/>
  <c r="G10" i="1"/>
  <c r="G11" i="1" a="1"/>
  <c r="G11" i="1" s="1"/>
  <c r="G12" i="1" a="1"/>
  <c r="G12" i="1"/>
  <c r="G13" i="1" a="1"/>
  <c r="G13" i="1" s="1"/>
  <c r="G14" i="1" a="1"/>
  <c r="G14" i="1"/>
  <c r="G15" i="1" a="1"/>
  <c r="G15" i="1" s="1"/>
  <c r="G16" i="1" a="1"/>
  <c r="G16" i="1" s="1"/>
  <c r="G17" i="1" a="1"/>
  <c r="G17" i="1" s="1"/>
  <c r="G18" i="1" a="1"/>
  <c r="G18" i="1"/>
  <c r="G19" i="1" a="1"/>
  <c r="G19" i="1" s="1"/>
  <c r="G20" i="1" a="1"/>
  <c r="G20" i="1"/>
  <c r="G21" i="1" a="1"/>
  <c r="G21" i="1" s="1"/>
  <c r="G22" i="1" a="1"/>
  <c r="G22" i="1"/>
  <c r="G23" i="1" a="1"/>
  <c r="G23" i="1" s="1"/>
  <c r="G24" i="1" a="1"/>
  <c r="G24" i="1" s="1"/>
  <c r="G25" i="1" a="1"/>
  <c r="G25" i="1" s="1"/>
  <c r="G26" i="1" a="1"/>
  <c r="G26" i="1"/>
  <c r="G27" i="1" a="1"/>
  <c r="G27" i="1" s="1"/>
  <c r="G28" i="1" a="1"/>
  <c r="G28" i="1"/>
  <c r="G29" i="1" a="1"/>
  <c r="G29" i="1" s="1"/>
  <c r="G30" i="1" a="1"/>
  <c r="G30" i="1"/>
  <c r="G31" i="1" a="1"/>
  <c r="G31" i="1" s="1"/>
  <c r="G32" i="1" a="1"/>
  <c r="G32" i="1" s="1"/>
  <c r="G33" i="1" a="1"/>
  <c r="G33" i="1" s="1"/>
  <c r="G34" i="1" a="1"/>
  <c r="G34" i="1"/>
  <c r="G35" i="1" a="1"/>
  <c r="G35" i="1" s="1"/>
  <c r="G36" i="1" a="1"/>
  <c r="G36" i="1"/>
  <c r="G37" i="1" a="1"/>
  <c r="G37" i="1" s="1"/>
  <c r="G38" i="1" a="1"/>
  <c r="G38" i="1"/>
  <c r="G39" i="1" a="1"/>
  <c r="G39" i="1" s="1"/>
  <c r="G40" i="1" a="1"/>
  <c r="G40" i="1" s="1"/>
  <c r="G41" i="1" a="1"/>
  <c r="G41" i="1" s="1"/>
  <c r="G42" i="1" a="1"/>
  <c r="G42" i="1"/>
  <c r="G43" i="1" a="1"/>
  <c r="G43" i="1" s="1"/>
  <c r="G44" i="1" a="1"/>
  <c r="G44" i="1"/>
  <c r="G45" i="1" a="1"/>
  <c r="G45" i="1" s="1"/>
  <c r="G46" i="1" a="1"/>
  <c r="G46" i="1" s="1"/>
  <c r="G47" i="1" a="1"/>
  <c r="G47" i="1" s="1"/>
  <c r="G48" i="1" a="1"/>
  <c r="G48" i="1" s="1"/>
  <c r="G49" i="1" a="1"/>
  <c r="G49" i="1" s="1"/>
  <c r="G50" i="1" a="1"/>
  <c r="G50" i="1"/>
  <c r="G51" i="1" a="1"/>
  <c r="G51" i="1" s="1"/>
  <c r="G52" i="1" a="1"/>
  <c r="G52" i="1"/>
  <c r="G53" i="1" a="1"/>
  <c r="G53" i="1" s="1"/>
  <c r="G54" i="1" a="1"/>
  <c r="G54" i="1" s="1"/>
  <c r="G55" i="1" a="1"/>
  <c r="G55" i="1" s="1"/>
  <c r="G56" i="1" a="1"/>
  <c r="G56" i="1" s="1"/>
  <c r="G57" i="1" a="1"/>
  <c r="G57" i="1" s="1"/>
  <c r="G58" i="1" a="1"/>
  <c r="G58" i="1"/>
  <c r="G59" i="1" a="1"/>
  <c r="G59" i="1" s="1"/>
  <c r="G60" i="1" a="1"/>
  <c r="G60" i="1"/>
  <c r="G61" i="1" a="1"/>
  <c r="G61" i="1" s="1"/>
  <c r="G62" i="1" a="1"/>
  <c r="G62" i="1" s="1"/>
  <c r="G63" i="1" a="1"/>
  <c r="G63" i="1" s="1"/>
  <c r="G64" i="1" a="1"/>
  <c r="G64" i="1" s="1"/>
  <c r="G65" i="1" a="1"/>
  <c r="G65" i="1" s="1"/>
  <c r="G66" i="1" a="1"/>
  <c r="G66" i="1"/>
  <c r="G67" i="1" a="1"/>
  <c r="G67" i="1" s="1"/>
  <c r="G68" i="1" a="1"/>
  <c r="G68" i="1"/>
  <c r="G69" i="1" a="1"/>
  <c r="G69" i="1" s="1"/>
  <c r="G70" i="1" a="1"/>
  <c r="G70" i="1" s="1"/>
  <c r="G71" i="1" a="1"/>
  <c r="G71" i="1" s="1"/>
  <c r="G72" i="1" a="1"/>
  <c r="G72" i="1" s="1"/>
  <c r="G73" i="1" a="1"/>
  <c r="G73" i="1" s="1"/>
  <c r="G74" i="1" a="1"/>
  <c r="G74" i="1"/>
  <c r="G75" i="1" a="1"/>
  <c r="G75" i="1" s="1"/>
  <c r="G76" i="1" a="1"/>
  <c r="G76" i="1"/>
  <c r="G77" i="1" a="1"/>
  <c r="G77" i="1" s="1"/>
  <c r="G78" i="1" a="1"/>
  <c r="G78" i="1" s="1"/>
  <c r="G79" i="1" a="1"/>
  <c r="G79" i="1" s="1"/>
  <c r="G80" i="1" a="1"/>
  <c r="G80" i="1" s="1"/>
  <c r="G81" i="1" a="1"/>
  <c r="G81" i="1" s="1"/>
  <c r="G82" i="1" a="1"/>
  <c r="G82" i="1"/>
  <c r="G83" i="1" a="1"/>
  <c r="G83" i="1" s="1"/>
  <c r="G84" i="1" a="1"/>
  <c r="G84" i="1"/>
  <c r="G85" i="1" a="1"/>
  <c r="G85" i="1" s="1"/>
  <c r="G86" i="1" a="1"/>
  <c r="G86" i="1" s="1"/>
  <c r="G87" i="1" a="1"/>
  <c r="G87" i="1" s="1"/>
  <c r="G88" i="1" a="1"/>
  <c r="G88" i="1" s="1"/>
  <c r="G89" i="1" a="1"/>
  <c r="G89" i="1" s="1"/>
  <c r="G90" i="1" a="1"/>
  <c r="G90" i="1" s="1"/>
  <c r="G91" i="1" a="1"/>
  <c r="G91" i="1" s="1"/>
  <c r="G92" i="1" a="1"/>
  <c r="G92" i="1"/>
  <c r="G93" i="1" a="1"/>
  <c r="G93" i="1" s="1"/>
  <c r="G94" i="1" a="1"/>
  <c r="G94" i="1" s="1"/>
  <c r="G95" i="1" a="1"/>
  <c r="G95" i="1" s="1"/>
  <c r="G96" i="1" a="1"/>
  <c r="G96" i="1" s="1"/>
  <c r="G97" i="1" a="1"/>
  <c r="G97" i="1" s="1"/>
  <c r="G98" i="1" a="1"/>
  <c r="G98" i="1" s="1"/>
  <c r="G99" i="1" a="1"/>
  <c r="G99" i="1" s="1"/>
  <c r="G100" i="1" a="1"/>
  <c r="G100" i="1"/>
  <c r="G101" i="1" a="1"/>
  <c r="G101" i="1" s="1"/>
  <c r="G102" i="1" a="1"/>
  <c r="G102" i="1" s="1"/>
  <c r="G103" i="1" a="1"/>
  <c r="G103" i="1" s="1"/>
  <c r="G104" i="1" a="1"/>
  <c r="G104" i="1" s="1"/>
  <c r="G105" i="1" a="1"/>
  <c r="G105" i="1" s="1"/>
  <c r="G106" i="1" a="1"/>
  <c r="G106" i="1" s="1"/>
  <c r="G107" i="1" a="1"/>
  <c r="G107" i="1" s="1"/>
  <c r="G108" i="1" a="1"/>
  <c r="G108" i="1"/>
  <c r="G109" i="1" a="1"/>
  <c r="G109" i="1" s="1"/>
  <c r="G110" i="1" a="1"/>
  <c r="G110" i="1" s="1"/>
  <c r="G111" i="1" a="1"/>
  <c r="G111" i="1" s="1"/>
  <c r="G112" i="1" a="1"/>
  <c r="G112" i="1" s="1"/>
  <c r="G113" i="1" a="1"/>
  <c r="G113" i="1" s="1"/>
  <c r="G114" i="1" a="1"/>
  <c r="G114" i="1" s="1"/>
  <c r="G115" i="1" a="1"/>
  <c r="G115" i="1" s="1"/>
  <c r="G116" i="1" a="1"/>
  <c r="G116" i="1"/>
  <c r="G117" i="1" a="1"/>
  <c r="G117" i="1" s="1"/>
  <c r="G118" i="1" a="1"/>
  <c r="G118" i="1" s="1"/>
  <c r="G119" i="1" a="1"/>
  <c r="G119" i="1" s="1"/>
  <c r="G120" i="1" a="1"/>
  <c r="G120" i="1" s="1"/>
  <c r="G121" i="1" a="1"/>
  <c r="G121" i="1" s="1"/>
  <c r="G122" i="1" a="1"/>
  <c r="G122" i="1" s="1"/>
  <c r="G123" i="1" a="1"/>
  <c r="G123" i="1" s="1"/>
  <c r="G124" i="1" a="1"/>
  <c r="G124" i="1"/>
  <c r="G125" i="1" a="1"/>
  <c r="G125" i="1" s="1"/>
  <c r="G126" i="1" a="1"/>
  <c r="G126" i="1" s="1"/>
  <c r="G127" i="1" a="1"/>
  <c r="G127" i="1" s="1"/>
  <c r="G128" i="1" a="1"/>
  <c r="G128" i="1" s="1"/>
  <c r="G129" i="1" a="1"/>
  <c r="G129" i="1" s="1"/>
  <c r="G130" i="1" a="1"/>
  <c r="G130" i="1" s="1"/>
  <c r="G131" i="1" a="1"/>
  <c r="G131" i="1" s="1"/>
  <c r="G132" i="1" a="1"/>
  <c r="G132" i="1"/>
  <c r="G133" i="1" a="1"/>
  <c r="G133" i="1" s="1"/>
  <c r="G134" i="1" a="1"/>
  <c r="G134" i="1" s="1"/>
  <c r="G135" i="1" a="1"/>
  <c r="G135" i="1" s="1"/>
  <c r="G136" i="1" a="1"/>
  <c r="G136" i="1" s="1"/>
  <c r="G137" i="1" a="1"/>
  <c r="G137" i="1" s="1"/>
  <c r="G138" i="1" a="1"/>
  <c r="G138" i="1" s="1"/>
  <c r="G139" i="1" a="1"/>
  <c r="G139" i="1" s="1"/>
  <c r="G140" i="1" a="1"/>
  <c r="G140" i="1"/>
  <c r="G141" i="1" a="1"/>
  <c r="G141" i="1" s="1"/>
  <c r="G142" i="1" a="1"/>
  <c r="G142" i="1" s="1"/>
  <c r="G143" i="1" a="1"/>
  <c r="G143" i="1" s="1"/>
  <c r="G144" i="1" a="1"/>
  <c r="G144" i="1" s="1"/>
  <c r="G145" i="1" a="1"/>
  <c r="G145" i="1" s="1"/>
  <c r="G146" i="1" a="1"/>
  <c r="G146" i="1" s="1"/>
  <c r="G147" i="1" a="1"/>
  <c r="G147" i="1" s="1"/>
  <c r="G148" i="1" a="1"/>
  <c r="G148" i="1"/>
  <c r="G149" i="1" a="1"/>
  <c r="G149" i="1" s="1"/>
  <c r="G150" i="1" a="1"/>
  <c r="G150" i="1" s="1"/>
  <c r="G151" i="1" a="1"/>
  <c r="G151" i="1" s="1"/>
  <c r="G152" i="1" a="1"/>
  <c r="G152" i="1" s="1"/>
  <c r="G153" i="1" a="1"/>
  <c r="G153" i="1" s="1"/>
  <c r="G154" i="1" a="1"/>
  <c r="G154" i="1" s="1"/>
  <c r="G155" i="1" a="1"/>
  <c r="G155" i="1" s="1"/>
  <c r="G156" i="1" a="1"/>
  <c r="G156" i="1"/>
  <c r="G157" i="1" a="1"/>
  <c r="G157" i="1" s="1"/>
  <c r="G158" i="1" a="1"/>
  <c r="G158" i="1" s="1"/>
  <c r="G159" i="1" a="1"/>
  <c r="G159" i="1" s="1"/>
  <c r="G160" i="1" a="1"/>
  <c r="G160" i="1" s="1"/>
  <c r="G161" i="1" a="1"/>
  <c r="G161" i="1" s="1"/>
  <c r="G162" i="1" a="1"/>
  <c r="G162" i="1" s="1"/>
  <c r="G163" i="1" a="1"/>
  <c r="G163" i="1" s="1"/>
  <c r="G164" i="1" a="1"/>
  <c r="G164" i="1"/>
  <c r="G165" i="1" a="1"/>
  <c r="G165" i="1" s="1"/>
  <c r="G166" i="1" a="1"/>
  <c r="G166" i="1" s="1"/>
  <c r="G167" i="1" a="1"/>
  <c r="G167" i="1" s="1"/>
  <c r="G168" i="1" a="1"/>
  <c r="G168" i="1" s="1"/>
  <c r="G169" i="1" a="1"/>
  <c r="G169" i="1" s="1"/>
  <c r="G170" i="1" a="1"/>
  <c r="G170" i="1" s="1"/>
  <c r="G171" i="1" a="1"/>
  <c r="G171" i="1" s="1"/>
  <c r="G172" i="1" a="1"/>
  <c r="G172" i="1"/>
  <c r="G173" i="1" a="1"/>
  <c r="G173" i="1" s="1"/>
  <c r="G174" i="1" a="1"/>
  <c r="G174" i="1"/>
  <c r="G175" i="1" a="1"/>
  <c r="G175" i="1" s="1"/>
  <c r="G176" i="1" a="1"/>
  <c r="G176" i="1"/>
  <c r="G178" i="1" a="1"/>
  <c r="G178" i="1"/>
  <c r="G179" i="1" a="1"/>
  <c r="G179" i="1" s="1"/>
  <c r="G180" i="1" a="1"/>
  <c r="G180" i="1"/>
  <c r="G181" i="1" a="1"/>
  <c r="G181" i="1" s="1"/>
  <c r="G182" i="1" a="1"/>
  <c r="G182" i="1"/>
  <c r="G183" i="1" a="1"/>
  <c r="G183" i="1" s="1"/>
  <c r="G184" i="1" a="1"/>
  <c r="G184" i="1"/>
  <c r="G185" i="1" a="1"/>
  <c r="G185" i="1" s="1"/>
  <c r="G186" i="1" a="1"/>
  <c r="G186" i="1"/>
  <c r="G187" i="1" a="1"/>
  <c r="G187" i="1" s="1"/>
  <c r="G188" i="1" a="1"/>
  <c r="G188" i="1" s="1"/>
  <c r="G189" i="1" a="1"/>
  <c r="G189" i="1" s="1"/>
  <c r="G190" i="1" a="1"/>
  <c r="G190" i="1" s="1"/>
  <c r="G191" i="1" a="1"/>
  <c r="G191" i="1" s="1"/>
  <c r="G192" i="1" a="1"/>
  <c r="G192" i="1"/>
  <c r="G193" i="1" a="1"/>
  <c r="G193" i="1" s="1"/>
  <c r="G194" i="1" a="1"/>
  <c r="G194" i="1" s="1"/>
  <c r="G195" i="1" a="1"/>
  <c r="G195" i="1" s="1"/>
  <c r="G196" i="1" a="1"/>
  <c r="G196" i="1"/>
  <c r="G197" i="1" a="1"/>
  <c r="G197" i="1" s="1"/>
  <c r="G198" i="1" a="1"/>
  <c r="G198" i="1" s="1"/>
  <c r="G199" i="1" a="1"/>
  <c r="G199" i="1" s="1"/>
  <c r="G200" i="1" a="1"/>
  <c r="G200" i="1"/>
  <c r="G201" i="1" a="1"/>
  <c r="G201" i="1" s="1"/>
  <c r="G202" i="1" a="1"/>
  <c r="G202" i="1" s="1"/>
  <c r="G203" i="1" a="1"/>
  <c r="G203" i="1" s="1"/>
  <c r="G204" i="1" a="1"/>
  <c r="G204" i="1" s="1"/>
  <c r="G205" i="1" a="1"/>
  <c r="G205" i="1" s="1"/>
  <c r="G206" i="1" a="1"/>
  <c r="G206" i="1" s="1"/>
  <c r="G207" i="1" a="1"/>
  <c r="G207" i="1" s="1"/>
  <c r="G208" i="1" a="1"/>
  <c r="G208" i="1"/>
  <c r="G209" i="1" a="1"/>
  <c r="G209" i="1" s="1"/>
  <c r="G210" i="1" a="1"/>
  <c r="G210" i="1" s="1"/>
  <c r="G211" i="1" a="1"/>
  <c r="G211" i="1" s="1"/>
  <c r="G212" i="1" a="1"/>
  <c r="G212" i="1"/>
  <c r="G213" i="1" a="1"/>
  <c r="G213" i="1" s="1"/>
  <c r="G214" i="1" a="1"/>
  <c r="G214" i="1" s="1"/>
  <c r="G215" i="1" a="1"/>
  <c r="G215" i="1" s="1"/>
  <c r="G216" i="1" a="1"/>
  <c r="G216" i="1"/>
  <c r="G217" i="1" a="1"/>
  <c r="G217" i="1" s="1"/>
  <c r="G218" i="1" a="1"/>
  <c r="G218" i="1" s="1"/>
  <c r="G219" i="1" a="1"/>
  <c r="G219" i="1" s="1"/>
  <c r="G220" i="1" a="1"/>
  <c r="G220" i="1"/>
  <c r="G221" i="1" a="1"/>
  <c r="G221" i="1" s="1"/>
  <c r="G222" i="1" a="1"/>
  <c r="G222" i="1" s="1"/>
  <c r="G223" i="1" a="1"/>
  <c r="G223" i="1" s="1"/>
  <c r="G224" i="1" a="1"/>
  <c r="G224" i="1"/>
  <c r="G225" i="1" a="1"/>
  <c r="G225" i="1" s="1"/>
  <c r="G226" i="1" a="1"/>
  <c r="G226" i="1" s="1"/>
  <c r="G227" i="1" a="1"/>
  <c r="G227" i="1" s="1"/>
  <c r="G228" i="1" a="1"/>
  <c r="G228" i="1" s="1"/>
  <c r="G229" i="1" a="1"/>
  <c r="G229" i="1" s="1"/>
  <c r="G230" i="1" a="1"/>
  <c r="G230" i="1" s="1"/>
  <c r="G231" i="1" a="1"/>
  <c r="G231" i="1" s="1"/>
  <c r="G232" i="1" a="1"/>
  <c r="G232" i="1"/>
  <c r="G233" i="1" a="1"/>
  <c r="G233" i="1" s="1"/>
  <c r="G234" i="1" a="1"/>
  <c r="G234" i="1" s="1"/>
  <c r="G235" i="1" a="1"/>
  <c r="G235" i="1" s="1"/>
  <c r="G236" i="1" a="1"/>
  <c r="G236" i="1" s="1"/>
  <c r="G237" i="1" a="1"/>
  <c r="G237" i="1" s="1"/>
  <c r="G238" i="1" a="1"/>
  <c r="G238" i="1" s="1"/>
  <c r="G239" i="1" a="1"/>
  <c r="G239" i="1" s="1"/>
  <c r="G240" i="1" a="1"/>
  <c r="G240" i="1"/>
  <c r="G241" i="1" a="1"/>
  <c r="G241" i="1" s="1"/>
  <c r="G242" i="1" a="1"/>
  <c r="G242" i="1" s="1"/>
  <c r="G243" i="1" a="1"/>
  <c r="G243" i="1" s="1"/>
  <c r="G244" i="1" a="1"/>
  <c r="G244" i="1"/>
  <c r="G245" i="1" a="1"/>
  <c r="G245" i="1" s="1"/>
  <c r="G246" i="1" a="1"/>
  <c r="G246" i="1" s="1"/>
  <c r="G247" i="1" a="1"/>
  <c r="G247" i="1" s="1"/>
  <c r="G248" i="1" a="1"/>
  <c r="G248" i="1"/>
  <c r="G249" i="1" a="1"/>
  <c r="G249" i="1" s="1"/>
  <c r="G250" i="1" a="1"/>
  <c r="G250" i="1" s="1"/>
  <c r="G251" i="1" a="1"/>
  <c r="G251" i="1" s="1"/>
  <c r="G252" i="1" a="1"/>
  <c r="G252" i="1" s="1"/>
  <c r="G253" i="1" a="1"/>
  <c r="G253" i="1" s="1"/>
  <c r="G254" i="1" a="1"/>
  <c r="G254" i="1" s="1"/>
  <c r="G255" i="1" a="1"/>
  <c r="G255" i="1" s="1"/>
  <c r="G256" i="1" a="1"/>
  <c r="G256" i="1"/>
  <c r="G257" i="1" a="1"/>
  <c r="G257" i="1" s="1"/>
  <c r="G258" i="1" a="1"/>
  <c r="G258" i="1" s="1"/>
  <c r="G259" i="1" a="1"/>
  <c r="G259" i="1" s="1"/>
  <c r="G260" i="1" a="1"/>
  <c r="G260" i="1" s="1"/>
  <c r="G261" i="1" a="1"/>
  <c r="G261" i="1" s="1"/>
  <c r="G262" i="1" a="1"/>
  <c r="G262" i="1" s="1"/>
  <c r="G263" i="1" a="1"/>
  <c r="G263" i="1" s="1"/>
  <c r="G264" i="1" a="1"/>
  <c r="G264" i="1"/>
  <c r="G265" i="1" a="1"/>
  <c r="G265" i="1" s="1"/>
  <c r="G266" i="1" a="1"/>
  <c r="G266" i="1" s="1"/>
  <c r="G267" i="1" a="1"/>
  <c r="G267" i="1" s="1"/>
  <c r="G268" i="1" a="1"/>
  <c r="G268" i="1"/>
  <c r="G269" i="1" a="1"/>
  <c r="G269" i="1" s="1"/>
  <c r="G270" i="1" a="1"/>
  <c r="G270" i="1" s="1"/>
  <c r="G271" i="1" a="1"/>
  <c r="G271" i="1" s="1"/>
  <c r="G272" i="1" a="1"/>
  <c r="G272" i="1"/>
  <c r="G273" i="1" a="1"/>
  <c r="G273" i="1" s="1"/>
  <c r="G274" i="1" a="1"/>
  <c r="G274" i="1" s="1"/>
  <c r="G275" i="1" a="1"/>
  <c r="G275" i="1" s="1"/>
  <c r="G276" i="1" a="1"/>
  <c r="G276" i="1" s="1"/>
  <c r="G277" i="1" a="1"/>
  <c r="G277" i="1" s="1"/>
  <c r="G278" i="1" a="1"/>
  <c r="G278" i="1" s="1"/>
  <c r="G279" i="1" a="1"/>
  <c r="G279" i="1" s="1"/>
  <c r="G280" i="1" a="1"/>
  <c r="G280" i="1"/>
  <c r="G281" i="1" a="1"/>
  <c r="G281" i="1" s="1"/>
  <c r="G282" i="1" a="1"/>
  <c r="G282" i="1" s="1"/>
  <c r="G283" i="1" a="1"/>
  <c r="G283" i="1" s="1"/>
  <c r="G284" i="1" a="1"/>
  <c r="G284" i="1"/>
  <c r="G285" i="1" a="1"/>
  <c r="G285" i="1" s="1"/>
  <c r="G286" i="1" a="1"/>
  <c r="G286" i="1" s="1"/>
  <c r="G287" i="1" a="1"/>
  <c r="G287" i="1" s="1"/>
  <c r="G288" i="1" a="1"/>
  <c r="G288" i="1"/>
  <c r="G289" i="1" a="1"/>
  <c r="G289" i="1" s="1"/>
  <c r="G290" i="1" a="1"/>
  <c r="G290" i="1" s="1"/>
  <c r="G291" i="1" a="1"/>
  <c r="G291" i="1" s="1"/>
  <c r="G292" i="1" a="1"/>
  <c r="G292" i="1"/>
  <c r="G293" i="1" a="1"/>
  <c r="G293" i="1" s="1"/>
  <c r="G294" i="1" a="1"/>
  <c r="G294" i="1" s="1"/>
  <c r="G295" i="1" a="1"/>
  <c r="G295" i="1" s="1"/>
  <c r="G296" i="1" a="1"/>
  <c r="G296" i="1"/>
  <c r="G297" i="1" a="1"/>
  <c r="G297" i="1" s="1"/>
  <c r="G298" i="1" a="1"/>
  <c r="G298" i="1" s="1"/>
  <c r="G299" i="1" a="1"/>
  <c r="G299" i="1" s="1"/>
  <c r="G300" i="1" a="1"/>
  <c r="G300" i="1" s="1"/>
  <c r="G301" i="1" a="1"/>
  <c r="G301" i="1"/>
  <c r="G302" i="1" a="1"/>
  <c r="G302" i="1" s="1"/>
  <c r="G303" i="1" a="1"/>
  <c r="G303" i="1"/>
  <c r="G304" i="1" a="1"/>
  <c r="G304" i="1" s="1"/>
  <c r="G305" i="1" a="1"/>
  <c r="G305" i="1"/>
  <c r="G306" i="1" a="1"/>
  <c r="G306" i="1" s="1"/>
  <c r="G307" i="1" a="1"/>
  <c r="G307" i="1"/>
  <c r="G308" i="1" a="1"/>
  <c r="G308" i="1" s="1"/>
  <c r="G309" i="1" a="1"/>
  <c r="G309" i="1"/>
  <c r="G310" i="1" a="1"/>
  <c r="G310" i="1" s="1"/>
  <c r="G311" i="1" a="1"/>
  <c r="G311" i="1"/>
  <c r="G312" i="1" a="1"/>
  <c r="G312" i="1" s="1"/>
  <c r="G313" i="1" a="1"/>
  <c r="G313" i="1"/>
  <c r="G314" i="1" a="1"/>
  <c r="G314" i="1" s="1"/>
  <c r="G315" i="1" a="1"/>
  <c r="G315" i="1"/>
  <c r="G316" i="1" a="1"/>
  <c r="G316" i="1" s="1"/>
  <c r="G317" i="1" a="1"/>
  <c r="G317" i="1"/>
  <c r="G318" i="1" a="1"/>
  <c r="G318" i="1" s="1"/>
  <c r="G319" i="1" a="1"/>
  <c r="G319" i="1"/>
  <c r="G320" i="1" a="1"/>
  <c r="G320" i="1" s="1"/>
  <c r="G321" i="1" a="1"/>
  <c r="G321" i="1"/>
  <c r="G322" i="1" a="1"/>
  <c r="G322" i="1" s="1"/>
  <c r="G323" i="1" a="1"/>
  <c r="G323" i="1"/>
  <c r="G324" i="1" a="1"/>
  <c r="G324" i="1" s="1"/>
  <c r="G325" i="1" a="1"/>
  <c r="G325" i="1"/>
  <c r="G326" i="1" a="1"/>
  <c r="G326" i="1" s="1"/>
  <c r="G327" i="1" a="1"/>
  <c r="G327" i="1"/>
  <c r="G328" i="1" a="1"/>
  <c r="G328" i="1" s="1"/>
  <c r="G329" i="1" a="1"/>
  <c r="G329" i="1"/>
  <c r="G330" i="1" a="1"/>
  <c r="G330" i="1" s="1"/>
  <c r="G331" i="1" a="1"/>
  <c r="G331" i="1"/>
  <c r="G332" i="1" a="1"/>
  <c r="G332" i="1" s="1"/>
  <c r="G333" i="1" a="1"/>
  <c r="G333" i="1"/>
  <c r="G334" i="1" a="1"/>
  <c r="G334" i="1" s="1"/>
  <c r="G335" i="1" a="1"/>
  <c r="G335" i="1"/>
  <c r="G336" i="1" a="1"/>
  <c r="G336" i="1" s="1"/>
  <c r="G337" i="1" a="1"/>
  <c r="G337" i="1"/>
  <c r="G338" i="1" a="1"/>
  <c r="G338" i="1" s="1"/>
  <c r="G339" i="1" a="1"/>
  <c r="G339" i="1"/>
  <c r="G2" i="1" a="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<sst xmlns="http://schemas.openxmlformats.org/spreadsheetml/2006/main" count="507" uniqueCount="50">
  <si>
    <t>Year</t>
  </si>
  <si>
    <t>Location</t>
  </si>
  <si>
    <t>Suspected</t>
  </si>
  <si>
    <t>Cases</t>
  </si>
  <si>
    <t>Death</t>
  </si>
  <si>
    <t>Killed and Disposed off</t>
  </si>
  <si>
    <t>Kano</t>
  </si>
  <si>
    <t>Delta</t>
  </si>
  <si>
    <t>Kebbi</t>
  </si>
  <si>
    <t>Plateau</t>
  </si>
  <si>
    <t>Ogun</t>
  </si>
  <si>
    <t>Lagos</t>
  </si>
  <si>
    <t>Rivers</t>
  </si>
  <si>
    <t>Imo</t>
  </si>
  <si>
    <t>Bauchi</t>
  </si>
  <si>
    <t>Ekiti</t>
  </si>
  <si>
    <t>Katsina</t>
  </si>
  <si>
    <t>Niger</t>
  </si>
  <si>
    <t>Sokoto</t>
  </si>
  <si>
    <t>Bayelsa</t>
  </si>
  <si>
    <t>Oyo</t>
  </si>
  <si>
    <t>Osun</t>
  </si>
  <si>
    <t>Edo</t>
  </si>
  <si>
    <t>Gombe</t>
  </si>
  <si>
    <t>Kaduna</t>
  </si>
  <si>
    <t>Kogi</t>
  </si>
  <si>
    <t>FCT</t>
  </si>
  <si>
    <t>Zamfara</t>
  </si>
  <si>
    <t>Nasarawa</t>
  </si>
  <si>
    <t>Anambra</t>
  </si>
  <si>
    <t>Ebonyi</t>
  </si>
  <si>
    <t>Abia</t>
  </si>
  <si>
    <t>Jigawa</t>
  </si>
  <si>
    <t>Adamawa</t>
  </si>
  <si>
    <t>Borno</t>
  </si>
  <si>
    <t>Enugu</t>
  </si>
  <si>
    <t>Akwa Ibom</t>
  </si>
  <si>
    <t>Taraba</t>
  </si>
  <si>
    <t>Row Labels</t>
  </si>
  <si>
    <t>Grand Total</t>
  </si>
  <si>
    <t>Sum of Cases</t>
  </si>
  <si>
    <t>Sum of Death</t>
  </si>
  <si>
    <t>Sum of Killed and Disposed off</t>
  </si>
  <si>
    <t>Geopolitical Zone</t>
  </si>
  <si>
    <t>North Central</t>
  </si>
  <si>
    <t>State</t>
  </si>
  <si>
    <t>Deaths</t>
  </si>
  <si>
    <t>Mortality</t>
  </si>
  <si>
    <t>Sum of Mortality</t>
  </si>
  <si>
    <t>HIGHLY PATHOGENIC AVIAN INFLUENZA DASHBOARD (2020 - 2025)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</si>
</sst>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4"/>
      <color theme="0"/>
      <name val="Helvetica"/>
    </font>
  </fonts>
  <fills count="3">
    <fill>
      <patternFill patternType="none"/>
    </fill>
    <fill>
      <patternFill patternType="gray125"/>
    </fill>
    <fill>
      <patternFill patternType="solid">
        <fgColor theme="1" tint="0.249977111117893"/>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2">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0" xfId="0" applyAlignment="1">
      <alignment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colors>
    <mruColors>
      <color rgb="FFF097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Reported Cases of HPAI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lumMod val="75000"/>
                </a:schemeClr>
              </a:solidFill>
              <a:round/>
            </a:ln>
            <a:effectLst/>
          </c:spPr>
          <c:marker>
            <c:symbol val="none"/>
          </c:marker>
          <c:cat>
            <c:strRef>
              <c:f>Analysis!$A$4:$A$10</c:f>
              <c:strCache>
                <c:ptCount val="6"/>
                <c:pt idx="0">
                  <c:v>2020</c:v>
                </c:pt>
                <c:pt idx="1">
                  <c:v>2021</c:v>
                </c:pt>
                <c:pt idx="2">
                  <c:v>2022</c:v>
                </c:pt>
                <c:pt idx="3">
                  <c:v>2023</c:v>
                </c:pt>
                <c:pt idx="4">
                  <c:v>2024</c:v>
                </c:pt>
                <c:pt idx="5">
                  <c:v>2025</c:v>
                </c:pt>
              </c:strCache>
            </c:strRef>
          </c:cat>
          <c:val>
            <c:numRef>
              <c:f>Analysis!$B$4:$B$10</c:f>
              <c:numCache>
                <c:formatCode>General</c:formatCode>
                <c:ptCount val="6"/>
                <c:pt idx="0">
                  <c:v>0</c:v>
                </c:pt>
                <c:pt idx="1">
                  <c:v>1310578</c:v>
                </c:pt>
                <c:pt idx="2">
                  <c:v>995501</c:v>
                </c:pt>
                <c:pt idx="3">
                  <c:v>83948</c:v>
                </c:pt>
                <c:pt idx="4">
                  <c:v>4106</c:v>
                </c:pt>
                <c:pt idx="5">
                  <c:v>50</c:v>
                </c:pt>
              </c:numCache>
            </c:numRef>
          </c:val>
          <c:smooth val="0"/>
          <c:extLst>
            <c:ext xmlns:c16="http://schemas.microsoft.com/office/drawing/2014/chart" uri="{C3380CC4-5D6E-409C-BE32-E72D297353CC}">
              <c16:uniqueId val="{00000000-2E34-4C2A-8199-D9AC78C8C39A}"/>
            </c:ext>
          </c:extLst>
        </c:ser>
        <c:dLbls>
          <c:showLegendKey val="0"/>
          <c:showVal val="0"/>
          <c:showCatName val="0"/>
          <c:showSerName val="0"/>
          <c:showPercent val="0"/>
          <c:showBubbleSize val="0"/>
        </c:dLbls>
        <c:smooth val="0"/>
        <c:axId val="1129361104"/>
        <c:axId val="1129371664"/>
      </c:lineChart>
      <c:catAx>
        <c:axId val="11293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71664"/>
        <c:crosses val="autoZero"/>
        <c:auto val="1"/>
        <c:lblAlgn val="ctr"/>
        <c:lblOffset val="100"/>
        <c:noMultiLvlLbl val="0"/>
      </c:catAx>
      <c:valAx>
        <c:axId val="1129371664"/>
        <c:scaling>
          <c:orientation val="minMax"/>
        </c:scaling>
        <c:delete val="1"/>
        <c:axPos val="l"/>
        <c:numFmt formatCode="General" sourceLinked="1"/>
        <c:majorTickMark val="none"/>
        <c:minorTickMark val="none"/>
        <c:tickLblPos val="nextTo"/>
        <c:crossAx val="11293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Mortality</a:t>
            </a:r>
            <a:r>
              <a:rPr lang="en-US" baseline="0">
                <a:latin typeface="Helvetica" panose="020B0604020202020204" pitchFamily="34" charset="0"/>
                <a:cs typeface="Helvetica" panose="020B0604020202020204" pitchFamily="34" charset="0"/>
              </a:rPr>
              <a:t> over Time</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Analysis!$B$13</c:f>
              <c:strCache>
                <c:ptCount val="1"/>
                <c:pt idx="0">
                  <c:v>Total</c:v>
                </c:pt>
              </c:strCache>
            </c:strRef>
          </c:tx>
          <c:spPr>
            <a:ln w="28575" cap="rnd">
              <a:solidFill>
                <a:srgbClr val="FF0000"/>
              </a:solidFill>
              <a:round/>
            </a:ln>
            <a:effectLst/>
          </c:spPr>
          <c:marker>
            <c:symbol val="none"/>
          </c:marker>
          <c:cat>
            <c:strRef>
              <c:f>Analysis!$A$14:$A$20</c:f>
              <c:strCache>
                <c:ptCount val="6"/>
                <c:pt idx="0">
                  <c:v>2020</c:v>
                </c:pt>
                <c:pt idx="1">
                  <c:v>2021</c:v>
                </c:pt>
                <c:pt idx="2">
                  <c:v>2022</c:v>
                </c:pt>
                <c:pt idx="3">
                  <c:v>2023</c:v>
                </c:pt>
                <c:pt idx="4">
                  <c:v>2024</c:v>
                </c:pt>
                <c:pt idx="5">
                  <c:v>2025</c:v>
                </c:pt>
              </c:strCache>
            </c:strRef>
          </c:cat>
          <c:val>
            <c:numRef>
              <c:f>Analysis!$B$14:$B$20</c:f>
              <c:numCache>
                <c:formatCode>General</c:formatCode>
                <c:ptCount val="6"/>
                <c:pt idx="0">
                  <c:v>63</c:v>
                </c:pt>
                <c:pt idx="1">
                  <c:v>1323227</c:v>
                </c:pt>
                <c:pt idx="2">
                  <c:v>996001</c:v>
                </c:pt>
                <c:pt idx="3">
                  <c:v>83948</c:v>
                </c:pt>
                <c:pt idx="4">
                  <c:v>4106</c:v>
                </c:pt>
                <c:pt idx="5">
                  <c:v>50</c:v>
                </c:pt>
              </c:numCache>
            </c:numRef>
          </c:val>
          <c:smooth val="0"/>
          <c:extLst>
            <c:ext xmlns:c16="http://schemas.microsoft.com/office/drawing/2014/chart" uri="{C3380CC4-5D6E-409C-BE32-E72D297353CC}">
              <c16:uniqueId val="{00000000-091B-4741-9B99-C0D730AF89B9}"/>
            </c:ext>
          </c:extLst>
        </c:ser>
        <c:dLbls>
          <c:showLegendKey val="0"/>
          <c:showVal val="0"/>
          <c:showCatName val="0"/>
          <c:showSerName val="0"/>
          <c:showPercent val="0"/>
          <c:showBubbleSize val="0"/>
        </c:dLbls>
        <c:smooth val="0"/>
        <c:axId val="796342832"/>
        <c:axId val="796364912"/>
      </c:lineChart>
      <c:catAx>
        <c:axId val="7963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4912"/>
        <c:crosses val="autoZero"/>
        <c:auto val="1"/>
        <c:lblAlgn val="ctr"/>
        <c:lblOffset val="100"/>
        <c:noMultiLvlLbl val="0"/>
      </c:catAx>
      <c:valAx>
        <c:axId val="796364912"/>
        <c:scaling>
          <c:orientation val="minMax"/>
        </c:scaling>
        <c:delete val="1"/>
        <c:axPos val="l"/>
        <c:numFmt formatCode="General" sourceLinked="1"/>
        <c:majorTickMark val="none"/>
        <c:minorTickMark val="none"/>
        <c:tickLblPos val="nextTo"/>
        <c:crossAx val="79634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a:t>
            </a:r>
            <a:r>
              <a:rPr lang="en-US" baseline="0">
                <a:latin typeface="Helvetica" panose="020B0604020202020204" pitchFamily="34" charset="0"/>
                <a:cs typeface="Helvetica" panose="020B0604020202020204" pitchFamily="34" charset="0"/>
              </a:rPr>
              <a:t> Casualties</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Analysis!$B$64</c:f>
              <c:strCache>
                <c:ptCount val="1"/>
                <c:pt idx="0">
                  <c:v>Sum of Cases</c:v>
                </c:pt>
              </c:strCache>
            </c:strRef>
          </c:tx>
          <c:spPr>
            <a:solidFill>
              <a:schemeClr val="accent1">
                <a:lumMod val="75000"/>
              </a:schemeClr>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Analysis!$B$65:$B$97</c:f>
              <c:numCache>
                <c:formatCode>General</c:formatCode>
                <c:ptCount val="32"/>
                <c:pt idx="0">
                  <c:v>10500</c:v>
                </c:pt>
                <c:pt idx="1">
                  <c:v>17000</c:v>
                </c:pt>
                <c:pt idx="2">
                  <c:v>4964</c:v>
                </c:pt>
                <c:pt idx="3">
                  <c:v>16700</c:v>
                </c:pt>
                <c:pt idx="4">
                  <c:v>87457</c:v>
                </c:pt>
                <c:pt idx="5">
                  <c:v>22369</c:v>
                </c:pt>
                <c:pt idx="6">
                  <c:v>37</c:v>
                </c:pt>
                <c:pt idx="7">
                  <c:v>424641</c:v>
                </c:pt>
                <c:pt idx="8">
                  <c:v>500</c:v>
                </c:pt>
                <c:pt idx="9">
                  <c:v>35019</c:v>
                </c:pt>
                <c:pt idx="10">
                  <c:v>609</c:v>
                </c:pt>
                <c:pt idx="11">
                  <c:v>3820</c:v>
                </c:pt>
                <c:pt idx="12">
                  <c:v>43609</c:v>
                </c:pt>
                <c:pt idx="13">
                  <c:v>38774</c:v>
                </c:pt>
                <c:pt idx="14">
                  <c:v>1000</c:v>
                </c:pt>
                <c:pt idx="15">
                  <c:v>600</c:v>
                </c:pt>
                <c:pt idx="16">
                  <c:v>123510</c:v>
                </c:pt>
                <c:pt idx="17">
                  <c:v>530860</c:v>
                </c:pt>
                <c:pt idx="18">
                  <c:v>155739</c:v>
                </c:pt>
                <c:pt idx="19">
                  <c:v>189</c:v>
                </c:pt>
                <c:pt idx="20">
                  <c:v>2000</c:v>
                </c:pt>
                <c:pt idx="21">
                  <c:v>149122</c:v>
                </c:pt>
                <c:pt idx="22">
                  <c:v>37418</c:v>
                </c:pt>
                <c:pt idx="23">
                  <c:v>21515</c:v>
                </c:pt>
                <c:pt idx="24">
                  <c:v>231412</c:v>
                </c:pt>
                <c:pt idx="25">
                  <c:v>350</c:v>
                </c:pt>
                <c:pt idx="26">
                  <c:v>19648</c:v>
                </c:pt>
                <c:pt idx="27">
                  <c:v>175570</c:v>
                </c:pt>
                <c:pt idx="28">
                  <c:v>48551</c:v>
                </c:pt>
                <c:pt idx="29">
                  <c:v>700</c:v>
                </c:pt>
                <c:pt idx="30">
                  <c:v>2000</c:v>
                </c:pt>
                <c:pt idx="31">
                  <c:v>188000</c:v>
                </c:pt>
              </c:numCache>
            </c:numRef>
          </c:val>
          <c:extLst>
            <c:ext xmlns:c16="http://schemas.microsoft.com/office/drawing/2014/chart" uri="{C3380CC4-5D6E-409C-BE32-E72D297353CC}">
              <c16:uniqueId val="{00000000-D0AC-4950-BE78-34015F765B69}"/>
            </c:ext>
          </c:extLst>
        </c:ser>
        <c:ser>
          <c:idx val="1"/>
          <c:order val="1"/>
          <c:tx>
            <c:strRef>
              <c:f>Analysis!$C$64</c:f>
              <c:strCache>
                <c:ptCount val="1"/>
                <c:pt idx="0">
                  <c:v>Sum of Death</c:v>
                </c:pt>
              </c:strCache>
            </c:strRef>
          </c:tx>
          <c:spPr>
            <a:solidFill>
              <a:srgbClr val="FF0000"/>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Analysis!$C$65:$C$97</c:f>
              <c:numCache>
                <c:formatCode>General</c:formatCode>
                <c:ptCount val="32"/>
                <c:pt idx="0">
                  <c:v>5100</c:v>
                </c:pt>
                <c:pt idx="1">
                  <c:v>3200</c:v>
                </c:pt>
                <c:pt idx="2">
                  <c:v>3964</c:v>
                </c:pt>
                <c:pt idx="3">
                  <c:v>4100</c:v>
                </c:pt>
                <c:pt idx="4">
                  <c:v>8533</c:v>
                </c:pt>
                <c:pt idx="5">
                  <c:v>6640</c:v>
                </c:pt>
                <c:pt idx="6">
                  <c:v>20</c:v>
                </c:pt>
                <c:pt idx="7">
                  <c:v>173695</c:v>
                </c:pt>
                <c:pt idx="8">
                  <c:v>100</c:v>
                </c:pt>
                <c:pt idx="9">
                  <c:v>4453</c:v>
                </c:pt>
                <c:pt idx="10">
                  <c:v>305</c:v>
                </c:pt>
                <c:pt idx="11">
                  <c:v>1005</c:v>
                </c:pt>
                <c:pt idx="12">
                  <c:v>8421</c:v>
                </c:pt>
                <c:pt idx="13">
                  <c:v>11189</c:v>
                </c:pt>
                <c:pt idx="14">
                  <c:v>175</c:v>
                </c:pt>
                <c:pt idx="15">
                  <c:v>489</c:v>
                </c:pt>
                <c:pt idx="16">
                  <c:v>23680</c:v>
                </c:pt>
                <c:pt idx="17">
                  <c:v>93335</c:v>
                </c:pt>
                <c:pt idx="18">
                  <c:v>13588</c:v>
                </c:pt>
                <c:pt idx="19">
                  <c:v>125</c:v>
                </c:pt>
                <c:pt idx="20">
                  <c:v>50</c:v>
                </c:pt>
                <c:pt idx="21">
                  <c:v>16095</c:v>
                </c:pt>
                <c:pt idx="22">
                  <c:v>12330</c:v>
                </c:pt>
                <c:pt idx="23">
                  <c:v>6412</c:v>
                </c:pt>
                <c:pt idx="24">
                  <c:v>42138</c:v>
                </c:pt>
                <c:pt idx="25">
                  <c:v>245</c:v>
                </c:pt>
                <c:pt idx="26">
                  <c:v>4270</c:v>
                </c:pt>
                <c:pt idx="27">
                  <c:v>34663</c:v>
                </c:pt>
                <c:pt idx="28">
                  <c:v>22934</c:v>
                </c:pt>
                <c:pt idx="29">
                  <c:v>500</c:v>
                </c:pt>
                <c:pt idx="30">
                  <c:v>687</c:v>
                </c:pt>
                <c:pt idx="31">
                  <c:v>30500</c:v>
                </c:pt>
              </c:numCache>
            </c:numRef>
          </c:val>
          <c:extLst>
            <c:ext xmlns:c16="http://schemas.microsoft.com/office/drawing/2014/chart" uri="{C3380CC4-5D6E-409C-BE32-E72D297353CC}">
              <c16:uniqueId val="{00000001-D0AC-4950-BE78-34015F765B69}"/>
            </c:ext>
          </c:extLst>
        </c:ser>
        <c:ser>
          <c:idx val="2"/>
          <c:order val="2"/>
          <c:tx>
            <c:strRef>
              <c:f>Analysis!$D$64</c:f>
              <c:strCache>
                <c:ptCount val="1"/>
                <c:pt idx="0">
                  <c:v>Sum of Killed and Disposed off</c:v>
                </c:pt>
              </c:strCache>
            </c:strRef>
          </c:tx>
          <c:spPr>
            <a:solidFill>
              <a:srgbClr val="FFC000"/>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Analysis!$D$65:$D$97</c:f>
              <c:numCache>
                <c:formatCode>General</c:formatCode>
                <c:ptCount val="32"/>
                <c:pt idx="0">
                  <c:v>5400</c:v>
                </c:pt>
                <c:pt idx="1">
                  <c:v>13800</c:v>
                </c:pt>
                <c:pt idx="2">
                  <c:v>1000</c:v>
                </c:pt>
                <c:pt idx="3">
                  <c:v>12600</c:v>
                </c:pt>
                <c:pt idx="4">
                  <c:v>80970</c:v>
                </c:pt>
                <c:pt idx="5">
                  <c:v>15729</c:v>
                </c:pt>
                <c:pt idx="6">
                  <c:v>17</c:v>
                </c:pt>
                <c:pt idx="7">
                  <c:v>250947</c:v>
                </c:pt>
                <c:pt idx="8">
                  <c:v>400</c:v>
                </c:pt>
                <c:pt idx="9">
                  <c:v>30566</c:v>
                </c:pt>
                <c:pt idx="10">
                  <c:v>304</c:v>
                </c:pt>
                <c:pt idx="11">
                  <c:v>2815</c:v>
                </c:pt>
                <c:pt idx="12">
                  <c:v>35188</c:v>
                </c:pt>
                <c:pt idx="13">
                  <c:v>27585</c:v>
                </c:pt>
                <c:pt idx="14">
                  <c:v>825</c:v>
                </c:pt>
                <c:pt idx="15">
                  <c:v>111</c:v>
                </c:pt>
                <c:pt idx="16">
                  <c:v>106735</c:v>
                </c:pt>
                <c:pt idx="17">
                  <c:v>440995</c:v>
                </c:pt>
                <c:pt idx="18">
                  <c:v>142151</c:v>
                </c:pt>
                <c:pt idx="19">
                  <c:v>64</c:v>
                </c:pt>
                <c:pt idx="20">
                  <c:v>1950</c:v>
                </c:pt>
                <c:pt idx="21">
                  <c:v>133027</c:v>
                </c:pt>
                <c:pt idx="22">
                  <c:v>25088</c:v>
                </c:pt>
                <c:pt idx="23">
                  <c:v>15103</c:v>
                </c:pt>
                <c:pt idx="24">
                  <c:v>189274</c:v>
                </c:pt>
                <c:pt idx="25">
                  <c:v>105</c:v>
                </c:pt>
                <c:pt idx="26">
                  <c:v>15578</c:v>
                </c:pt>
                <c:pt idx="27">
                  <c:v>141497</c:v>
                </c:pt>
                <c:pt idx="28">
                  <c:v>25617</c:v>
                </c:pt>
                <c:pt idx="29">
                  <c:v>200</c:v>
                </c:pt>
                <c:pt idx="30">
                  <c:v>1313</c:v>
                </c:pt>
                <c:pt idx="31">
                  <c:v>157500</c:v>
                </c:pt>
              </c:numCache>
            </c:numRef>
          </c:val>
          <c:extLst>
            <c:ext xmlns:c16="http://schemas.microsoft.com/office/drawing/2014/chart" uri="{C3380CC4-5D6E-409C-BE32-E72D297353CC}">
              <c16:uniqueId val="{00000002-D0AC-4950-BE78-34015F765B69}"/>
            </c:ext>
          </c:extLst>
        </c:ser>
        <c:dLbls>
          <c:showLegendKey val="0"/>
          <c:showVal val="0"/>
          <c:showCatName val="0"/>
          <c:showSerName val="0"/>
          <c:showPercent val="0"/>
          <c:showBubbleSize val="0"/>
        </c:dLbls>
        <c:gapWidth val="150"/>
        <c:overlap val="100"/>
        <c:axId val="787168592"/>
        <c:axId val="787156592"/>
      </c:barChart>
      <c:catAx>
        <c:axId val="7871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56592"/>
        <c:crosses val="autoZero"/>
        <c:auto val="1"/>
        <c:lblAlgn val="ctr"/>
        <c:lblOffset val="100"/>
        <c:noMultiLvlLbl val="0"/>
      </c:catAx>
      <c:valAx>
        <c:axId val="78715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 1!PivotTable24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Cases/Mortality</a:t>
            </a:r>
            <a:r>
              <a:rPr lang="en-US" baseline="0">
                <a:latin typeface="Helvetica" panose="020B0604020202020204" pitchFamily="34" charset="0"/>
                <a:cs typeface="Helvetica" panose="020B0604020202020204" pitchFamily="34" charset="0"/>
              </a:rPr>
              <a:t> per Year</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1'!$B$1</c:f>
              <c:strCache>
                <c:ptCount val="1"/>
                <c:pt idx="0">
                  <c:v>Sum of Cases</c:v>
                </c:pt>
              </c:strCache>
            </c:strRef>
          </c:tx>
          <c:spPr>
            <a:solidFill>
              <a:schemeClr val="accent1">
                <a:lumMod val="75000"/>
              </a:schemeClr>
            </a:solidFill>
            <a:ln>
              <a:noFill/>
            </a:ln>
            <a:effectLst/>
          </c:spPr>
          <c:invertIfNegative val="0"/>
          <c:cat>
            <c:strRef>
              <c:f>'Analysis 1'!$A$2:$A$3</c:f>
              <c:strCache>
                <c:ptCount val="1"/>
                <c:pt idx="0">
                  <c:v>North Central</c:v>
                </c:pt>
              </c:strCache>
            </c:strRef>
          </c:cat>
          <c:val>
            <c:numRef>
              <c:f>'Analysis 1'!$B$2:$B$3</c:f>
              <c:numCache>
                <c:formatCode>General</c:formatCode>
                <c:ptCount val="1"/>
                <c:pt idx="0">
                  <c:v>126120</c:v>
                </c:pt>
              </c:numCache>
            </c:numRef>
          </c:val>
          <c:extLst>
            <c:ext xmlns:c16="http://schemas.microsoft.com/office/drawing/2014/chart" uri="{C3380CC4-5D6E-409C-BE32-E72D297353CC}">
              <c16:uniqueId val="{00000000-1740-4E10-BDDD-2580B28C8613}"/>
            </c:ext>
          </c:extLst>
        </c:ser>
        <c:ser>
          <c:idx val="1"/>
          <c:order val="1"/>
          <c:tx>
            <c:strRef>
              <c:f>'Analysis 1'!$C$1</c:f>
              <c:strCache>
                <c:ptCount val="1"/>
                <c:pt idx="0">
                  <c:v>Sum of Mortality</c:v>
                </c:pt>
              </c:strCache>
            </c:strRef>
          </c:tx>
          <c:spPr>
            <a:solidFill>
              <a:srgbClr val="FF0000"/>
            </a:solidFill>
            <a:ln>
              <a:noFill/>
            </a:ln>
            <a:effectLst/>
          </c:spPr>
          <c:invertIfNegative val="0"/>
          <c:cat>
            <c:strRef>
              <c:f>'Analysis 1'!$A$2:$A$3</c:f>
              <c:strCache>
                <c:ptCount val="1"/>
                <c:pt idx="0">
                  <c:v>North Central</c:v>
                </c:pt>
              </c:strCache>
            </c:strRef>
          </c:cat>
          <c:val>
            <c:numRef>
              <c:f>'Analysis 1'!$C$2:$C$3</c:f>
              <c:numCache>
                <c:formatCode>General</c:formatCode>
                <c:ptCount val="1"/>
                <c:pt idx="0">
                  <c:v>126620</c:v>
                </c:pt>
              </c:numCache>
            </c:numRef>
          </c:val>
          <c:extLst>
            <c:ext xmlns:c16="http://schemas.microsoft.com/office/drawing/2014/chart" uri="{C3380CC4-5D6E-409C-BE32-E72D297353CC}">
              <c16:uniqueId val="{00000001-1740-4E10-BDDD-2580B28C8613}"/>
            </c:ext>
          </c:extLst>
        </c:ser>
        <c:dLbls>
          <c:showLegendKey val="0"/>
          <c:showVal val="0"/>
          <c:showCatName val="0"/>
          <c:showSerName val="0"/>
          <c:showPercent val="0"/>
          <c:showBubbleSize val="0"/>
        </c:dLbls>
        <c:gapWidth val="150"/>
        <c:overlap val="100"/>
        <c:axId val="787190192"/>
        <c:axId val="787195952"/>
      </c:barChart>
      <c:catAx>
        <c:axId val="78719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95952"/>
        <c:crosses val="autoZero"/>
        <c:auto val="1"/>
        <c:lblAlgn val="ctr"/>
        <c:lblOffset val="100"/>
        <c:noMultiLvlLbl val="0"/>
      </c:catAx>
      <c:valAx>
        <c:axId val="78719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 1!PivotTable25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Cases/Mortality by Geopolitical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1'!$B$17</c:f>
              <c:strCache>
                <c:ptCount val="1"/>
                <c:pt idx="0">
                  <c:v>Sum of Cases</c:v>
                </c:pt>
              </c:strCache>
            </c:strRef>
          </c:tx>
          <c:spPr>
            <a:solidFill>
              <a:schemeClr val="accent1">
                <a:lumMod val="75000"/>
              </a:schemeClr>
            </a:solidFill>
            <a:ln>
              <a:noFill/>
            </a:ln>
            <a:effectLst/>
          </c:spPr>
          <c:invertIfNegative val="0"/>
          <c:cat>
            <c:strRef>
              <c:f>'Analysis 1'!$A$18:$A$23</c:f>
              <c:strCache>
                <c:ptCount val="5"/>
                <c:pt idx="0">
                  <c:v>FCT</c:v>
                </c:pt>
                <c:pt idx="1">
                  <c:v>Kogi</c:v>
                </c:pt>
                <c:pt idx="2">
                  <c:v>Nasarawa</c:v>
                </c:pt>
                <c:pt idx="3">
                  <c:v>Niger</c:v>
                </c:pt>
                <c:pt idx="4">
                  <c:v>Plateau</c:v>
                </c:pt>
              </c:strCache>
            </c:strRef>
          </c:cat>
          <c:val>
            <c:numRef>
              <c:f>'Analysis 1'!$B$18:$B$23</c:f>
              <c:numCache>
                <c:formatCode>General</c:formatCode>
                <c:ptCount val="5"/>
                <c:pt idx="0">
                  <c:v>41809</c:v>
                </c:pt>
                <c:pt idx="1">
                  <c:v>2000</c:v>
                </c:pt>
                <c:pt idx="2">
                  <c:v>30418</c:v>
                </c:pt>
                <c:pt idx="3">
                  <c:v>5900</c:v>
                </c:pt>
                <c:pt idx="4">
                  <c:v>45993</c:v>
                </c:pt>
              </c:numCache>
            </c:numRef>
          </c:val>
          <c:extLst>
            <c:ext xmlns:c16="http://schemas.microsoft.com/office/drawing/2014/chart" uri="{C3380CC4-5D6E-409C-BE32-E72D297353CC}">
              <c16:uniqueId val="{00000000-0B94-40AD-A2EF-5C7E3C3D6E63}"/>
            </c:ext>
          </c:extLst>
        </c:ser>
        <c:ser>
          <c:idx val="1"/>
          <c:order val="1"/>
          <c:tx>
            <c:strRef>
              <c:f>'Analysis 1'!$C$17</c:f>
              <c:strCache>
                <c:ptCount val="1"/>
                <c:pt idx="0">
                  <c:v>Sum of Mortality</c:v>
                </c:pt>
              </c:strCache>
            </c:strRef>
          </c:tx>
          <c:spPr>
            <a:solidFill>
              <a:srgbClr val="FF0000"/>
            </a:solidFill>
            <a:ln>
              <a:noFill/>
            </a:ln>
            <a:effectLst/>
          </c:spPr>
          <c:invertIfNegative val="0"/>
          <c:cat>
            <c:strRef>
              <c:f>'Analysis 1'!$A$18:$A$23</c:f>
              <c:strCache>
                <c:ptCount val="5"/>
                <c:pt idx="0">
                  <c:v>FCT</c:v>
                </c:pt>
                <c:pt idx="1">
                  <c:v>Kogi</c:v>
                </c:pt>
                <c:pt idx="2">
                  <c:v>Nasarawa</c:v>
                </c:pt>
                <c:pt idx="3">
                  <c:v>Niger</c:v>
                </c:pt>
                <c:pt idx="4">
                  <c:v>Plateau</c:v>
                </c:pt>
              </c:strCache>
            </c:strRef>
          </c:cat>
          <c:val>
            <c:numRef>
              <c:f>'Analysis 1'!$C$18:$C$23</c:f>
              <c:numCache>
                <c:formatCode>General</c:formatCode>
                <c:ptCount val="5"/>
                <c:pt idx="0">
                  <c:v>41809</c:v>
                </c:pt>
                <c:pt idx="1">
                  <c:v>2000</c:v>
                </c:pt>
                <c:pt idx="2">
                  <c:v>30418</c:v>
                </c:pt>
                <c:pt idx="3">
                  <c:v>5900</c:v>
                </c:pt>
                <c:pt idx="4">
                  <c:v>46493</c:v>
                </c:pt>
              </c:numCache>
            </c:numRef>
          </c:val>
          <c:extLst>
            <c:ext xmlns:c16="http://schemas.microsoft.com/office/drawing/2014/chart" uri="{C3380CC4-5D6E-409C-BE32-E72D297353CC}">
              <c16:uniqueId val="{00000001-0B94-40AD-A2EF-5C7E3C3D6E63}"/>
            </c:ext>
          </c:extLst>
        </c:ser>
        <c:dLbls>
          <c:showLegendKey val="0"/>
          <c:showVal val="0"/>
          <c:showCatName val="0"/>
          <c:showSerName val="0"/>
          <c:showPercent val="0"/>
          <c:showBubbleSize val="0"/>
        </c:dLbls>
        <c:gapWidth val="150"/>
        <c:overlap val="100"/>
        <c:axId val="1129347184"/>
        <c:axId val="1129362544"/>
      </c:barChart>
      <c:catAx>
        <c:axId val="112934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62544"/>
        <c:crosses val="autoZero"/>
        <c:auto val="1"/>
        <c:lblAlgn val="ctr"/>
        <c:lblOffset val="100"/>
        <c:noMultiLvlLbl val="0"/>
      </c:catAx>
      <c:valAx>
        <c:axId val="112936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4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Reported Cases of HPAI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lumMod val="75000"/>
                </a:schemeClr>
              </a:solidFill>
              <a:round/>
            </a:ln>
            <a:effectLst/>
          </c:spPr>
          <c:marker>
            <c:symbol val="none"/>
          </c:marker>
          <c:cat>
            <c:strRef>
              <c:f>Analysis!$A$4:$A$10</c:f>
              <c:strCache>
                <c:ptCount val="6"/>
                <c:pt idx="0">
                  <c:v>2020</c:v>
                </c:pt>
                <c:pt idx="1">
                  <c:v>2021</c:v>
                </c:pt>
                <c:pt idx="2">
                  <c:v>2022</c:v>
                </c:pt>
                <c:pt idx="3">
                  <c:v>2023</c:v>
                </c:pt>
                <c:pt idx="4">
                  <c:v>2024</c:v>
                </c:pt>
                <c:pt idx="5">
                  <c:v>2025</c:v>
                </c:pt>
              </c:strCache>
            </c:strRef>
          </c:cat>
          <c:val>
            <c:numRef>
              <c:f>Analysis!$B$4:$B$10</c:f>
              <c:numCache>
                <c:formatCode>General</c:formatCode>
                <c:ptCount val="6"/>
                <c:pt idx="0">
                  <c:v>0</c:v>
                </c:pt>
                <c:pt idx="1">
                  <c:v>1310578</c:v>
                </c:pt>
                <c:pt idx="2">
                  <c:v>995501</c:v>
                </c:pt>
                <c:pt idx="3">
                  <c:v>83948</c:v>
                </c:pt>
                <c:pt idx="4">
                  <c:v>4106</c:v>
                </c:pt>
                <c:pt idx="5">
                  <c:v>50</c:v>
                </c:pt>
              </c:numCache>
            </c:numRef>
          </c:val>
          <c:smooth val="0"/>
          <c:extLst>
            <c:ext xmlns:c16="http://schemas.microsoft.com/office/drawing/2014/chart" uri="{C3380CC4-5D6E-409C-BE32-E72D297353CC}">
              <c16:uniqueId val="{00000000-70C1-4B45-8A73-4CA9BD8107F5}"/>
            </c:ext>
          </c:extLst>
        </c:ser>
        <c:dLbls>
          <c:showLegendKey val="0"/>
          <c:showVal val="0"/>
          <c:showCatName val="0"/>
          <c:showSerName val="0"/>
          <c:showPercent val="0"/>
          <c:showBubbleSize val="0"/>
        </c:dLbls>
        <c:smooth val="0"/>
        <c:axId val="1129361104"/>
        <c:axId val="1129371664"/>
      </c:lineChart>
      <c:catAx>
        <c:axId val="11293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71664"/>
        <c:crosses val="autoZero"/>
        <c:auto val="1"/>
        <c:lblAlgn val="ctr"/>
        <c:lblOffset val="100"/>
        <c:noMultiLvlLbl val="0"/>
      </c:catAx>
      <c:valAx>
        <c:axId val="1129371664"/>
        <c:scaling>
          <c:orientation val="minMax"/>
        </c:scaling>
        <c:delete val="1"/>
        <c:axPos val="l"/>
        <c:numFmt formatCode="General" sourceLinked="1"/>
        <c:majorTickMark val="none"/>
        <c:minorTickMark val="none"/>
        <c:tickLblPos val="nextTo"/>
        <c:crossAx val="11293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Mortality</a:t>
            </a:r>
            <a:r>
              <a:rPr lang="en-US" baseline="0">
                <a:latin typeface="Helvetica" panose="020B0604020202020204" pitchFamily="34" charset="0"/>
                <a:cs typeface="Helvetica" panose="020B0604020202020204" pitchFamily="34" charset="0"/>
              </a:rPr>
              <a:t> over Time</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Analysis!$B$13</c:f>
              <c:strCache>
                <c:ptCount val="1"/>
                <c:pt idx="0">
                  <c:v>Total</c:v>
                </c:pt>
              </c:strCache>
            </c:strRef>
          </c:tx>
          <c:spPr>
            <a:ln w="28575" cap="rnd">
              <a:solidFill>
                <a:srgbClr val="FF0000"/>
              </a:solidFill>
              <a:round/>
            </a:ln>
            <a:effectLst/>
          </c:spPr>
          <c:marker>
            <c:symbol val="none"/>
          </c:marker>
          <c:cat>
            <c:strRef>
              <c:f>Analysis!$A$14:$A$20</c:f>
              <c:strCache>
                <c:ptCount val="6"/>
                <c:pt idx="0">
                  <c:v>2020</c:v>
                </c:pt>
                <c:pt idx="1">
                  <c:v>2021</c:v>
                </c:pt>
                <c:pt idx="2">
                  <c:v>2022</c:v>
                </c:pt>
                <c:pt idx="3">
                  <c:v>2023</c:v>
                </c:pt>
                <c:pt idx="4">
                  <c:v>2024</c:v>
                </c:pt>
                <c:pt idx="5">
                  <c:v>2025</c:v>
                </c:pt>
              </c:strCache>
            </c:strRef>
          </c:cat>
          <c:val>
            <c:numRef>
              <c:f>Analysis!$B$14:$B$20</c:f>
              <c:numCache>
                <c:formatCode>General</c:formatCode>
                <c:ptCount val="6"/>
                <c:pt idx="0">
                  <c:v>63</c:v>
                </c:pt>
                <c:pt idx="1">
                  <c:v>1323227</c:v>
                </c:pt>
                <c:pt idx="2">
                  <c:v>996001</c:v>
                </c:pt>
                <c:pt idx="3">
                  <c:v>83948</c:v>
                </c:pt>
                <c:pt idx="4">
                  <c:v>4106</c:v>
                </c:pt>
                <c:pt idx="5">
                  <c:v>50</c:v>
                </c:pt>
              </c:numCache>
            </c:numRef>
          </c:val>
          <c:smooth val="0"/>
          <c:extLst>
            <c:ext xmlns:c16="http://schemas.microsoft.com/office/drawing/2014/chart" uri="{C3380CC4-5D6E-409C-BE32-E72D297353CC}">
              <c16:uniqueId val="{00000000-5540-4F61-A3F5-E5ACAC91643B}"/>
            </c:ext>
          </c:extLst>
        </c:ser>
        <c:dLbls>
          <c:showLegendKey val="0"/>
          <c:showVal val="0"/>
          <c:showCatName val="0"/>
          <c:showSerName val="0"/>
          <c:showPercent val="0"/>
          <c:showBubbleSize val="0"/>
        </c:dLbls>
        <c:smooth val="0"/>
        <c:axId val="796342832"/>
        <c:axId val="796364912"/>
      </c:lineChart>
      <c:catAx>
        <c:axId val="7963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4912"/>
        <c:crosses val="autoZero"/>
        <c:auto val="1"/>
        <c:lblAlgn val="ctr"/>
        <c:lblOffset val="100"/>
        <c:noMultiLvlLbl val="0"/>
      </c:catAx>
      <c:valAx>
        <c:axId val="796364912"/>
        <c:scaling>
          <c:orientation val="minMax"/>
        </c:scaling>
        <c:delete val="1"/>
        <c:axPos val="l"/>
        <c:numFmt formatCode="General" sourceLinked="1"/>
        <c:majorTickMark val="none"/>
        <c:minorTickMark val="none"/>
        <c:tickLblPos val="nextTo"/>
        <c:crossAx val="79634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 1!PivotTable24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 Cases/Mortality</a:t>
            </a:r>
            <a:r>
              <a:rPr lang="en-US" baseline="0">
                <a:latin typeface="Helvetica" panose="020B0604020202020204" pitchFamily="34" charset="0"/>
                <a:cs typeface="Helvetica" panose="020B0604020202020204" pitchFamily="34" charset="0"/>
              </a:rPr>
              <a:t> per Year</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1'!$B$1</c:f>
              <c:strCache>
                <c:ptCount val="1"/>
                <c:pt idx="0">
                  <c:v>Sum of Cases</c:v>
                </c:pt>
              </c:strCache>
            </c:strRef>
          </c:tx>
          <c:spPr>
            <a:solidFill>
              <a:schemeClr val="accent1">
                <a:lumMod val="75000"/>
              </a:schemeClr>
            </a:solidFill>
            <a:ln>
              <a:noFill/>
            </a:ln>
            <a:effectLst/>
          </c:spPr>
          <c:invertIfNegative val="0"/>
          <c:cat>
            <c:strRef>
              <c:f>'Analysis 1'!$A$2:$A$3</c:f>
              <c:strCache>
                <c:ptCount val="1"/>
                <c:pt idx="0">
                  <c:v>North Central</c:v>
                </c:pt>
              </c:strCache>
            </c:strRef>
          </c:cat>
          <c:val>
            <c:numRef>
              <c:f>'Analysis 1'!$B$2:$B$3</c:f>
              <c:numCache>
                <c:formatCode>General</c:formatCode>
                <c:ptCount val="1"/>
                <c:pt idx="0">
                  <c:v>126120</c:v>
                </c:pt>
              </c:numCache>
            </c:numRef>
          </c:val>
          <c:extLst>
            <c:ext xmlns:c16="http://schemas.microsoft.com/office/drawing/2014/chart" uri="{C3380CC4-5D6E-409C-BE32-E72D297353CC}">
              <c16:uniqueId val="{00000000-1394-48DC-9E25-D384498B91F4}"/>
            </c:ext>
          </c:extLst>
        </c:ser>
        <c:ser>
          <c:idx val="1"/>
          <c:order val="1"/>
          <c:tx>
            <c:strRef>
              <c:f>'Analysis 1'!$C$1</c:f>
              <c:strCache>
                <c:ptCount val="1"/>
                <c:pt idx="0">
                  <c:v>Sum of Mortality</c:v>
                </c:pt>
              </c:strCache>
            </c:strRef>
          </c:tx>
          <c:spPr>
            <a:solidFill>
              <a:srgbClr val="FF0000"/>
            </a:solidFill>
            <a:ln>
              <a:noFill/>
            </a:ln>
            <a:effectLst/>
          </c:spPr>
          <c:invertIfNegative val="0"/>
          <c:cat>
            <c:strRef>
              <c:f>'Analysis 1'!$A$2:$A$3</c:f>
              <c:strCache>
                <c:ptCount val="1"/>
                <c:pt idx="0">
                  <c:v>North Central</c:v>
                </c:pt>
              </c:strCache>
            </c:strRef>
          </c:cat>
          <c:val>
            <c:numRef>
              <c:f>'Analysis 1'!$C$2:$C$3</c:f>
              <c:numCache>
                <c:formatCode>General</c:formatCode>
                <c:ptCount val="1"/>
                <c:pt idx="0">
                  <c:v>126620</c:v>
                </c:pt>
              </c:numCache>
            </c:numRef>
          </c:val>
          <c:extLst>
            <c:ext xmlns:c16="http://schemas.microsoft.com/office/drawing/2014/chart" uri="{C3380CC4-5D6E-409C-BE32-E72D297353CC}">
              <c16:uniqueId val="{00000001-1394-48DC-9E25-D384498B91F4}"/>
            </c:ext>
          </c:extLst>
        </c:ser>
        <c:dLbls>
          <c:showLegendKey val="0"/>
          <c:showVal val="0"/>
          <c:showCatName val="0"/>
          <c:showSerName val="0"/>
          <c:showPercent val="0"/>
          <c:showBubbleSize val="0"/>
        </c:dLbls>
        <c:gapWidth val="150"/>
        <c:overlap val="100"/>
        <c:axId val="787190192"/>
        <c:axId val="787195952"/>
      </c:barChart>
      <c:catAx>
        <c:axId val="78719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95952"/>
        <c:crosses val="autoZero"/>
        <c:auto val="1"/>
        <c:lblAlgn val="ctr"/>
        <c:lblOffset val="100"/>
        <c:noMultiLvlLbl val="0"/>
      </c:catAx>
      <c:valAx>
        <c:axId val="78719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[HPAI PROJECT.xlsx]Analysis 1!PivotTable25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Cases/Mortality by Geopolitical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1'!$B$17</c:f>
              <c:strCache>
                <c:ptCount val="1"/>
                <c:pt idx="0">
                  <c:v>Sum of Cases</c:v>
                </c:pt>
              </c:strCache>
            </c:strRef>
          </c:tx>
          <c:spPr>
            <a:solidFill>
              <a:schemeClr val="accent1">
                <a:lumMod val="75000"/>
              </a:schemeClr>
            </a:solidFill>
            <a:ln>
              <a:noFill/>
            </a:ln>
            <a:effectLst/>
          </c:spPr>
          <c:invertIfNegative val="0"/>
          <c:cat>
            <c:strRef>
              <c:f>'Analysis 1'!$A$18:$A$23</c:f>
              <c:strCache>
                <c:ptCount val="5"/>
                <c:pt idx="0">
                  <c:v>FCT</c:v>
                </c:pt>
                <c:pt idx="1">
                  <c:v>Kogi</c:v>
                </c:pt>
                <c:pt idx="2">
                  <c:v>Nasarawa</c:v>
                </c:pt>
                <c:pt idx="3">
                  <c:v>Niger</c:v>
                </c:pt>
                <c:pt idx="4">
                  <c:v>Plateau</c:v>
                </c:pt>
              </c:strCache>
            </c:strRef>
          </c:cat>
          <c:val>
            <c:numRef>
              <c:f>'Analysis 1'!$B$18:$B$23</c:f>
              <c:numCache>
                <c:formatCode>General</c:formatCode>
                <c:ptCount val="5"/>
                <c:pt idx="0">
                  <c:v>41809</c:v>
                </c:pt>
                <c:pt idx="1">
                  <c:v>2000</c:v>
                </c:pt>
                <c:pt idx="2">
                  <c:v>30418</c:v>
                </c:pt>
                <c:pt idx="3">
                  <c:v>5900</c:v>
                </c:pt>
                <c:pt idx="4">
                  <c:v>45993</c:v>
                </c:pt>
              </c:numCache>
            </c:numRef>
          </c:val>
          <c:extLst>
            <c:ext xmlns:c16="http://schemas.microsoft.com/office/drawing/2014/chart" uri="{C3380CC4-5D6E-409C-BE32-E72D297353CC}">
              <c16:uniqueId val="{00000000-7E93-4429-A0F1-EACC4A90375D}"/>
            </c:ext>
          </c:extLst>
        </c:ser>
        <c:ser>
          <c:idx val="1"/>
          <c:order val="1"/>
          <c:tx>
            <c:strRef>
              <c:f>'Analysis 1'!$C$17</c:f>
              <c:strCache>
                <c:ptCount val="1"/>
                <c:pt idx="0">
                  <c:v>Sum of Mortality</c:v>
                </c:pt>
              </c:strCache>
            </c:strRef>
          </c:tx>
          <c:spPr>
            <a:solidFill>
              <a:srgbClr val="FF0000"/>
            </a:solidFill>
            <a:ln>
              <a:noFill/>
            </a:ln>
            <a:effectLst/>
          </c:spPr>
          <c:invertIfNegative val="0"/>
          <c:cat>
            <c:strRef>
              <c:f>'Analysis 1'!$A$18:$A$23</c:f>
              <c:strCache>
                <c:ptCount val="5"/>
                <c:pt idx="0">
                  <c:v>FCT</c:v>
                </c:pt>
                <c:pt idx="1">
                  <c:v>Kogi</c:v>
                </c:pt>
                <c:pt idx="2">
                  <c:v>Nasarawa</c:v>
                </c:pt>
                <c:pt idx="3">
                  <c:v>Niger</c:v>
                </c:pt>
                <c:pt idx="4">
                  <c:v>Plateau</c:v>
                </c:pt>
              </c:strCache>
            </c:strRef>
          </c:cat>
          <c:val>
            <c:numRef>
              <c:f>'Analysis 1'!$C$18:$C$23</c:f>
              <c:numCache>
                <c:formatCode>General</c:formatCode>
                <c:ptCount val="5"/>
                <c:pt idx="0">
                  <c:v>41809</c:v>
                </c:pt>
                <c:pt idx="1">
                  <c:v>2000</c:v>
                </c:pt>
                <c:pt idx="2">
                  <c:v>30418</c:v>
                </c:pt>
                <c:pt idx="3">
                  <c:v>5900</c:v>
                </c:pt>
                <c:pt idx="4">
                  <c:v>46493</c:v>
                </c:pt>
              </c:numCache>
            </c:numRef>
          </c:val>
          <c:extLst>
            <c:ext xmlns:c16="http://schemas.microsoft.com/office/drawing/2014/chart" uri="{C3380CC4-5D6E-409C-BE32-E72D297353CC}">
              <c16:uniqueId val="{00000001-7E93-4429-A0F1-EACC4A90375D}"/>
            </c:ext>
          </c:extLst>
        </c:ser>
        <c:dLbls>
          <c:showLegendKey val="0"/>
          <c:showVal val="0"/>
          <c:showCatName val="0"/>
          <c:showSerName val="0"/>
          <c:showPercent val="0"/>
          <c:showBubbleSize val="0"/>
        </c:dLbls>
        <c:gapWidth val="150"/>
        <c:overlap val="100"/>
        <c:axId val="1129347184"/>
        <c:axId val="1129362544"/>
      </c:barChart>
      <c:catAx>
        <c:axId val="112934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62544"/>
        <c:crosses val="autoZero"/>
        <c:auto val="1"/>
        <c:lblAlgn val="ctr"/>
        <c:lblOffset val="100"/>
        <c:noMultiLvlLbl val="0"/>
      </c:catAx>
      <c:valAx>
        <c:axId val="112936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4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[HPAI PROJECT.xlsx]Analysis!PivotTable26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Helvetica" panose="020B0604020202020204" pitchFamily="34" charset="0"/>
                <a:cs typeface="Helvetica" panose="020B0604020202020204" pitchFamily="34" charset="0"/>
              </a:rPr>
              <a:t>Total</a:t>
            </a:r>
            <a:r>
              <a:rPr lang="en-US" baseline="0">
                <a:latin typeface="Helvetica" panose="020B0604020202020204" pitchFamily="34" charset="0"/>
                <a:cs typeface="Helvetica" panose="020B0604020202020204" pitchFamily="34" charset="0"/>
              </a:rPr>
              <a:t> Casualties</a:t>
            </a:r>
            <a:endParaRPr lang="en-US">
              <a:latin typeface="Helvetica" panose="020B0604020202020204" pitchFamily="34" charset="0"/>
              <a:cs typeface="Helvetic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Analysis!$B$64</c:f>
              <c:strCache>
                <c:ptCount val="1"/>
                <c:pt idx="0">
                  <c:v>Sum of Cases</c:v>
                </c:pt>
              </c:strCache>
            </c:strRef>
          </c:tx>
          <c:spPr>
            <a:solidFill>
              <a:schemeClr val="accent1">
                <a:lumMod val="75000"/>
              </a:schemeClr>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Analysis!$B$65:$B$97</c:f>
              <c:numCache>
                <c:formatCode>General</c:formatCode>
                <c:ptCount val="32"/>
                <c:pt idx="0">
                  <c:v>10500</c:v>
                </c:pt>
                <c:pt idx="1">
                  <c:v>17000</c:v>
                </c:pt>
                <c:pt idx="2">
                  <c:v>4964</c:v>
                </c:pt>
                <c:pt idx="3">
                  <c:v>16700</c:v>
                </c:pt>
                <c:pt idx="4">
                  <c:v>87457</c:v>
                </c:pt>
                <c:pt idx="5">
                  <c:v>22369</c:v>
                </c:pt>
                <c:pt idx="6">
                  <c:v>37</c:v>
                </c:pt>
                <c:pt idx="7">
                  <c:v>424641</c:v>
                </c:pt>
                <c:pt idx="8">
                  <c:v>500</c:v>
                </c:pt>
                <c:pt idx="9">
                  <c:v>35019</c:v>
                </c:pt>
                <c:pt idx="10">
                  <c:v>609</c:v>
                </c:pt>
                <c:pt idx="11">
                  <c:v>3820</c:v>
                </c:pt>
                <c:pt idx="12">
                  <c:v>43609</c:v>
                </c:pt>
                <c:pt idx="13">
                  <c:v>38774</c:v>
                </c:pt>
                <c:pt idx="14">
                  <c:v>1000</c:v>
                </c:pt>
                <c:pt idx="15">
                  <c:v>600</c:v>
                </c:pt>
                <c:pt idx="16">
                  <c:v>123510</c:v>
                </c:pt>
                <c:pt idx="17">
                  <c:v>530860</c:v>
                </c:pt>
                <c:pt idx="18">
                  <c:v>155739</c:v>
                </c:pt>
                <c:pt idx="19">
                  <c:v>189</c:v>
                </c:pt>
                <c:pt idx="20">
                  <c:v>2000</c:v>
                </c:pt>
                <c:pt idx="21">
                  <c:v>149122</c:v>
                </c:pt>
                <c:pt idx="22">
                  <c:v>37418</c:v>
                </c:pt>
                <c:pt idx="23">
                  <c:v>21515</c:v>
                </c:pt>
                <c:pt idx="24">
                  <c:v>231412</c:v>
                </c:pt>
                <c:pt idx="25">
                  <c:v>350</c:v>
                </c:pt>
                <c:pt idx="26">
                  <c:v>19648</c:v>
                </c:pt>
                <c:pt idx="27">
                  <c:v>175570</c:v>
                </c:pt>
                <c:pt idx="28">
                  <c:v>48551</c:v>
                </c:pt>
                <c:pt idx="29">
                  <c:v>700</c:v>
                </c:pt>
                <c:pt idx="30">
                  <c:v>2000</c:v>
                </c:pt>
                <c:pt idx="31">
                  <c:v>188000</c:v>
                </c:pt>
              </c:numCache>
            </c:numRef>
          </c:val>
          <c:extLst>
            <c:ext xmlns:c16="http://schemas.microsoft.com/office/drawing/2014/chart" uri="{C3380CC4-5D6E-409C-BE32-E72D297353CC}">
              <c16:uniqueId val="{00000000-705A-472C-99D8-15F9732C01F4}"/>
            </c:ext>
          </c:extLst>
        </c:ser>
        <c:ser>
          <c:idx val="1"/>
          <c:order val="1"/>
          <c:tx>
            <c:strRef>
              <c:f>Analysis!$C$64</c:f>
              <c:strCache>
                <c:ptCount val="1"/>
                <c:pt idx="0">
                  <c:v>Sum of Death</c:v>
                </c:pt>
              </c:strCache>
            </c:strRef>
          </c:tx>
          <c:spPr>
            <a:solidFill>
              <a:srgbClr val="FF0000"/>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Analysis!$C$65:$C$97</c:f>
              <c:numCache>
                <c:formatCode>General</c:formatCode>
                <c:ptCount val="32"/>
                <c:pt idx="0">
                  <c:v>5100</c:v>
                </c:pt>
                <c:pt idx="1">
                  <c:v>3200</c:v>
                </c:pt>
                <c:pt idx="2">
                  <c:v>3964</c:v>
                </c:pt>
                <c:pt idx="3">
                  <c:v>4100</c:v>
                </c:pt>
                <c:pt idx="4">
                  <c:v>8533</c:v>
                </c:pt>
                <c:pt idx="5">
                  <c:v>6640</c:v>
                </c:pt>
                <c:pt idx="6">
                  <c:v>20</c:v>
                </c:pt>
                <c:pt idx="7">
                  <c:v>173695</c:v>
                </c:pt>
                <c:pt idx="8">
                  <c:v>100</c:v>
                </c:pt>
                <c:pt idx="9">
                  <c:v>4453</c:v>
                </c:pt>
                <c:pt idx="10">
                  <c:v>305</c:v>
                </c:pt>
                <c:pt idx="11">
                  <c:v>1005</c:v>
                </c:pt>
                <c:pt idx="12">
                  <c:v>8421</c:v>
                </c:pt>
                <c:pt idx="13">
                  <c:v>11189</c:v>
                </c:pt>
                <c:pt idx="14">
                  <c:v>175</c:v>
                </c:pt>
                <c:pt idx="15">
                  <c:v>489</c:v>
                </c:pt>
                <c:pt idx="16">
                  <c:v>23680</c:v>
                </c:pt>
                <c:pt idx="17">
                  <c:v>93335</c:v>
                </c:pt>
                <c:pt idx="18">
                  <c:v>13588</c:v>
                </c:pt>
                <c:pt idx="19">
                  <c:v>125</c:v>
                </c:pt>
                <c:pt idx="20">
                  <c:v>50</c:v>
                </c:pt>
                <c:pt idx="21">
                  <c:v>16095</c:v>
                </c:pt>
                <c:pt idx="22">
                  <c:v>12330</c:v>
                </c:pt>
                <c:pt idx="23">
                  <c:v>6412</c:v>
                </c:pt>
                <c:pt idx="24">
                  <c:v>42138</c:v>
                </c:pt>
                <c:pt idx="25">
                  <c:v>245</c:v>
                </c:pt>
                <c:pt idx="26">
                  <c:v>4270</c:v>
                </c:pt>
                <c:pt idx="27">
                  <c:v>34663</c:v>
                </c:pt>
                <c:pt idx="28">
                  <c:v>22934</c:v>
                </c:pt>
                <c:pt idx="29">
                  <c:v>500</c:v>
                </c:pt>
                <c:pt idx="30">
                  <c:v>687</c:v>
                </c:pt>
                <c:pt idx="31">
                  <c:v>30500</c:v>
                </c:pt>
              </c:numCache>
            </c:numRef>
          </c:val>
          <c:extLst>
            <c:ext xmlns:c16="http://schemas.microsoft.com/office/drawing/2014/chart" uri="{C3380CC4-5D6E-409C-BE32-E72D297353CC}">
              <c16:uniqueId val="{00000001-705A-472C-99D8-15F9732C01F4}"/>
            </c:ext>
          </c:extLst>
        </c:ser>
        <c:ser>
          <c:idx val="2"/>
          <c:order val="2"/>
          <c:tx>
            <c:strRef>
              <c:f>Analysis!$D$64</c:f>
              <c:strCache>
                <c:ptCount val="1"/>
                <c:pt idx="0">
                  <c:v>Sum of Killed and Disposed off</c:v>
                </c:pt>
              </c:strCache>
            </c:strRef>
          </c:tx>
          <c:spPr>
            <a:solidFill>
              <a:srgbClr val="FFC000"/>
            </a:solidFill>
            <a:ln>
              <a:noFill/>
            </a:ln>
            <a:effectLst/>
          </c:spPr>
          <c:invertIfNegative val="0"/>
          <c:cat>
            <c:strRef>
              <c:f>Analysis!$A$65:$A$97</c:f>
              <c:strCache>
                <c:ptCount val="32"/>
                <c:pt idx="0">
                  <c:v>Abia</c:v>
                </c:pt>
                <c:pt idx="1">
                  <c:v>Adamawa</c:v>
                </c:pt>
                <c:pt idx="2">
                  <c:v>Akwa Ibom</c:v>
                </c:pt>
                <c:pt idx="3">
                  <c:v>Anambra</c:v>
                </c:pt>
                <c:pt idx="4">
                  <c:v>Bauchi</c:v>
                </c:pt>
                <c:pt idx="5">
                  <c:v>Bayelsa</c:v>
                </c:pt>
                <c:pt idx="6">
                  <c:v>Borno</c:v>
                </c:pt>
                <c:pt idx="7">
                  <c:v>Delta</c:v>
                </c:pt>
                <c:pt idx="8">
                  <c:v>Ebonyi</c:v>
                </c:pt>
                <c:pt idx="9">
                  <c:v>Edo</c:v>
                </c:pt>
                <c:pt idx="10">
                  <c:v>Ekiti</c:v>
                </c:pt>
                <c:pt idx="11">
                  <c:v>Enugu</c:v>
                </c:pt>
                <c:pt idx="12">
                  <c:v>FCT</c:v>
                </c:pt>
                <c:pt idx="13">
                  <c:v>Gombe</c:v>
                </c:pt>
                <c:pt idx="14">
                  <c:v>Imo</c:v>
                </c:pt>
                <c:pt idx="15">
                  <c:v>Jigawa</c:v>
                </c:pt>
                <c:pt idx="16">
                  <c:v>Kaduna</c:v>
                </c:pt>
                <c:pt idx="17">
                  <c:v>Kano</c:v>
                </c:pt>
                <c:pt idx="18">
                  <c:v>Katsina</c:v>
                </c:pt>
                <c:pt idx="19">
                  <c:v>Kebbi</c:v>
                </c:pt>
                <c:pt idx="20">
                  <c:v>Kogi</c:v>
                </c:pt>
                <c:pt idx="21">
                  <c:v>Lagos</c:v>
                </c:pt>
                <c:pt idx="22">
                  <c:v>Nasarawa</c:v>
                </c:pt>
                <c:pt idx="23">
                  <c:v>Niger</c:v>
                </c:pt>
                <c:pt idx="24">
                  <c:v>Ogun</c:v>
                </c:pt>
                <c:pt idx="25">
                  <c:v>Osun</c:v>
                </c:pt>
                <c:pt idx="26">
                  <c:v>Oyo</c:v>
                </c:pt>
                <c:pt idx="27">
                  <c:v>Plateau</c:v>
                </c:pt>
                <c:pt idx="28">
                  <c:v>Rivers</c:v>
                </c:pt>
                <c:pt idx="29">
                  <c:v>Sokoto</c:v>
                </c:pt>
                <c:pt idx="30">
                  <c:v>Taraba</c:v>
                </c:pt>
                <c:pt idx="31">
                  <c:v>Zamfara</c:v>
                </c:pt>
              </c:strCache>
            </c:strRef>
          </c:cat>
          <c:val>
            <c:numRef>
              <c:f>Analysis!$D$65:$D$97</c:f>
              <c:numCache>
                <c:formatCode>General</c:formatCode>
                <c:ptCount val="32"/>
                <c:pt idx="0">
                  <c:v>5400</c:v>
                </c:pt>
                <c:pt idx="1">
                  <c:v>13800</c:v>
                </c:pt>
                <c:pt idx="2">
                  <c:v>1000</c:v>
                </c:pt>
                <c:pt idx="3">
                  <c:v>12600</c:v>
                </c:pt>
                <c:pt idx="4">
                  <c:v>80970</c:v>
                </c:pt>
                <c:pt idx="5">
                  <c:v>15729</c:v>
                </c:pt>
                <c:pt idx="6">
                  <c:v>17</c:v>
                </c:pt>
                <c:pt idx="7">
                  <c:v>250947</c:v>
                </c:pt>
                <c:pt idx="8">
                  <c:v>400</c:v>
                </c:pt>
                <c:pt idx="9">
                  <c:v>30566</c:v>
                </c:pt>
                <c:pt idx="10">
                  <c:v>304</c:v>
                </c:pt>
                <c:pt idx="11">
                  <c:v>2815</c:v>
                </c:pt>
                <c:pt idx="12">
                  <c:v>35188</c:v>
                </c:pt>
                <c:pt idx="13">
                  <c:v>27585</c:v>
                </c:pt>
                <c:pt idx="14">
                  <c:v>825</c:v>
                </c:pt>
                <c:pt idx="15">
                  <c:v>111</c:v>
                </c:pt>
                <c:pt idx="16">
                  <c:v>106735</c:v>
                </c:pt>
                <c:pt idx="17">
                  <c:v>440995</c:v>
                </c:pt>
                <c:pt idx="18">
                  <c:v>142151</c:v>
                </c:pt>
                <c:pt idx="19">
                  <c:v>64</c:v>
                </c:pt>
                <c:pt idx="20">
                  <c:v>1950</c:v>
                </c:pt>
                <c:pt idx="21">
                  <c:v>133027</c:v>
                </c:pt>
                <c:pt idx="22">
                  <c:v>25088</c:v>
                </c:pt>
                <c:pt idx="23">
                  <c:v>15103</c:v>
                </c:pt>
                <c:pt idx="24">
                  <c:v>189274</c:v>
                </c:pt>
                <c:pt idx="25">
                  <c:v>105</c:v>
                </c:pt>
                <c:pt idx="26">
                  <c:v>15578</c:v>
                </c:pt>
                <c:pt idx="27">
                  <c:v>141497</c:v>
                </c:pt>
                <c:pt idx="28">
                  <c:v>25617</c:v>
                </c:pt>
                <c:pt idx="29">
                  <c:v>200</c:v>
                </c:pt>
                <c:pt idx="30">
                  <c:v>1313</c:v>
                </c:pt>
                <c:pt idx="31">
                  <c:v>157500</c:v>
                </c:pt>
              </c:numCache>
            </c:numRef>
          </c:val>
          <c:extLst>
            <c:ext xmlns:c16="http://schemas.microsoft.com/office/drawing/2014/chart" uri="{C3380CC4-5D6E-409C-BE32-E72D297353CC}">
              <c16:uniqueId val="{00000002-705A-472C-99D8-15F9732C01F4}"/>
            </c:ext>
          </c:extLst>
        </c:ser>
        <c:dLbls>
          <c:showLegendKey val="0"/>
          <c:showVal val="0"/>
          <c:showCatName val="0"/>
          <c:showSerName val="0"/>
          <c:showPercent val="0"/>
          <c:showBubbleSize val="0"/>
        </c:dLbls>
        <c:gapWidth val="150"/>
        <c:overlap val="100"/>
        <c:axId val="787168592"/>
        <c:axId val="787156592"/>
      </c:barChart>
      <c:catAx>
        <c:axId val="7871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56592"/>
        <c:crosses val="autoZero"/>
        <c:auto val="1"/>
        <c:lblAlgn val="ctr"/>
        <c:lblOffset val="100"/>
        <c:noMultiLvlLbl val="0"/>
      </c:catAx>
      <c:valAx>
        <c:axId val="78715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Cases of HPAI by State over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Helvetica" panose="020B0604020202020204" pitchFamily="34" charset="0"/>
              <a:cs typeface="Helvetica" panose="020B0604020202020204" pitchFamily="34" charset="0"/>
            </a:rPr>
            <a:t>Total Cases of HPAI by State over Time</a:t>
          </a:r>
        </a:p>
      </cx:txPr>
    </cx:title>
    <cx:plotArea>
      <cx:plotAreaRegion>
        <cx:series layoutId="regionMap" uniqueId="{C8DF41C0-4BAE-465B-94CE-9EE004FC4F02}">
          <cx:tx>
            <cx:txData>
              <cx:f>_xlchart.v5.6</cx:f>
              <cx:v>Cases</cx:v>
            </cx:txData>
          </cx:tx>
          <cx:dataId val="0"/>
          <cx:layoutPr>
            <cx:geography cultureLanguage="en-US" cultureRegion="US" attribution="Powered by Bing">
              <cx:geoCache provider="{E9337A44-BEBE-4D9F-B70C-5C5E7DAFC167}">
                <cx:binary>1Hxpc+Q2su1fcfjzo4wd4MR4IgZklUp7763uLwy1pCbBDVwAbr/+Zmlpq8o9vs+6uhFX5Qi5JRSq
QBxm5smTCf7zevrHdXl71f0yVWXd/+N6+v3XzLnmH7/91l9nt9VVf1CZ68729rs7uLbVb/b7d3N9
+9tNdzWaOv2NIMx+u86uOnc7/fqvf8Knpbf21F5fOWPrt/62m9/d9r50/V+M/XTol6ubytSx6V1n
rh3+/dd/fzNXv/5yWzvj5g9zc/v7rzvv+PWX3/Y/50/f+UsJy3L+BubyA8YZCjkV6P5Ffv2ltHX6
MCwPOOYUiZA/DNPHrz6/qmD6djG/vHdX7vbx7z9b0t2Crm5uutu+h+u5+//u3J1L2B26tr522+1L
YSd///XcpLfddgdMb6P7ochur+T88O7Sf9vd+n/9c+8PsBl7f3mCzv7O/XdDfwLn9Cq1/V9txd9D
RxxwIkJEMQsfXjvo0AMuJUOIPQ6rx6++R+duNc+FZ2fyHj47Y68KoH/fXFVX4wsaUAgWQkIp+SNC
YCFPDAiTA6oUVoo+vmEXoof1PBekvel7MO2NviqgtO1q+7hXP3Mqf8+SAAesJKch3oWHHlCkEKKM
/DCwe9d6b0F3q3guODuT96DZGXtVwPy7GK9+Ofpmq5cDhx2EDClBBX6IMrsgyQPFMCGCyweM9tzc
jxU9F6g/fcAeWH8af12A1VfVt+4FXZ44IFhRTIV6wEPs2JQ4ADqBATL6gCZ7vFMeOMP9ep4N1u70
fah2R18VUPrKX2fmcbNewOehA0GIIoqBh9u+ds0KowNEFEQuApxvx+ndreO5+NxfxePsPXh2B18Z
OvNt2b+gGbEDKYA5KP7I3uSeGQE6CpjFIzPfMyN9dbeex43+zwnBz9n33vQ/4bTz4a8KqPi2dC8I
EwcOLiEFQk+izxOCJw6wBF8n4C33rz2Y7lbzXJB2Ju9BtDP2qgBafbP1/IJ+DiAIQxFiKR8g2KXg
6gDonQoRfhyGcPXU3d0v57kQ7c7ew2h38HWBdPOC7FscgPkAf/vBsnddHT8IJSESM8hl714QqHYQ
urHPhuePqfvY/DHyuoApjHtB45EHckvkwLs97D34ryfujR+A81OUPDCIOw6xA812Nc8G5+nkfXie
jr0qgI5N+qIKw1ZCIJxQQXe1ua3ygCgJySN/2EuL7tfxXGx2Z++Bszv4qtBZ1T71j+7lf86xQaHb
aqchfQwuuxjJA4YZkAf8qP7sYXS3mudCtDN5D6GdsVcF0Dr68N/B878o4J5cud7UL0gfwXq5AI2J
PN4gENue+FcJKRqST9glRMan/vVhPc+9Rfam790ke6Ov6jY5tNW3vyw6/E19EIFOCxQ+3BcI8QFB
gguh9jjJ3fc/F5adyXug7Iy9KkiOqhekjJB2KR4yDr71/rUrMskDJEQo+B4qsITnYvJk6h4iT0Ze
FR4nVzf+RV3Z1kYIpwTvBznFKSWEP0IV7vuw7Tqei8v9VTzO3oNmd/CVofOi9Q18oEKmaEhg85/E
F3UA9ASkWPyo1e4VcE+u6mdbzNO5f8Llj499Vai8M8Nt94IVXLatXQhQ8h6yK7SbXokDJRDUPuTj
+J4Ue7+cx5v/nhj8jLT+XOPbnb0H0e7gqwLp5PbbtxdMgTEGli4kl/ynOjk7wEhCl8RjhTDcp2jb
1TwXortLeZy8h9DO2OsCyKYviA9IFCELQQYnP5UoQFxS8J+Qe7reCSzicWf/ruU8nbuPypOPfVWg
nF/1V9Ct9IK5jTpgFFyXeBr4d2IPAb6gOGQ396+95PdxQc8FaX/+HlD7w68LrG2b0yON+pnH/3vp
TXgQUiKgxr5DDvgBEGgM0Yc+cOw9z3bXa/VsdLZX8Dh5H5qnY68Kl4vU1y8HC5TKpVLQ1/DIzsBC
nhgQ3doXMDr66Pj22MF2MY87/Hc93NO5e+g8HXpd4PQvCQ70PjLFEPvR5rDLrNkBA/BA2RF/JKhP
lZsLWMyzwXkydx+cJ0OvC5z5BdUBBS0o0HfH0b7BcMGICvfFmov52UnOk6n7SPzxoa8KiDfQ/Xt7
9YIaeHiAuKJsayz3r115IAR+RgSB/q5Hx3nfB/SwjufayN70PXD2Rl8VQO9tYd0LGgumIJZhjLdF
vvvXTpThBxRDDxD60aG6x6Pvl/NcmHZn76G0O/iqQPoAXPrbi3JpOEGAKZjRA0a7RgTNWpJKQal8
6JHcEz7vl/NckHZn74G0O/iqQPp6VX0HnB79zv+cR0M1B92Vysm+jsNwCJU+aES5f+0x6YeFPBef
vel7AO2N/p9G6D8t7il93XnP3zzPAsEGYhDl4rHcxnd8nTzYwiOhFfwhVAGMT0nbj9Ml/3k9P5fa
fkzcWfz/+nGV/1wJ/XHoJ75yV6u700JPTrP89ejjMZi9qQ879VMrut+vo5vff8UCQ9cpo7DxP04i
bT9oZ593pK2fzr296t3vv0Jrl7iLS0KGXHAGFGK83Q5AagTeEPIiAhScI07B4GrbuQwWQA8Ig9aI
kHOFEWcCeHtv/d0QAi1v2wiGKXRdKsTkj7Nab2w5p7b+sTEPv/9S++qNNbXr4TsZsM3m/n3bK4WW
P2jKYLAsLgnihCnw2c311Ts4EAZvx/+vbSTnKVVx0hbMHbpM4CYybVBfD/3IP/BAlElU4SE99mEr
VqhTpovoMA2lFqaYLppgosdwZmz4VI1ogj/6rE3f4Ing9EwkYZAcpjKYWJQtS/1dDr42kSK5SuKJ
WGZiF+Du7TIoejsMLD2eUGBclFVOnLWVMZtW5PQ8S2URoWL0b7qM049psbhzhKfw1NXTp8KQ5dDN
HYpYEYZu1TC+XLdhU127zNnrJBvk2vduOkypQ6kmLVwJ7vJERtSIAGm5UPe5yMq80FPNs1EL29Sn
7VDBWLC004UakLKRn1l4VC2CxCZMhlXaoNlo4+e5iKfccXGc5Ko8wijr00NWyanSE/LLeRJWYaqz
lqRC0zYoqLZo7t77onXqPMin7GrOg+qCtpZ87OqFfAoH0x7lZrHp4TL14rTmqTgNEUvWpErlqJcy
96ukReSMzWV5xUrm1jiBvyG59I0e2sTiD6SulkpnDJVZxAuHu0OBXXFm5okc4l7k86nx7XxKwpx8
KHpsNkNgxmkF6+m/JrJXdaSYbIRmRZF9JJ3KlqgB3MsVyvjCYlzX9HBGuBYRY2VdRsukxFvbNW2v
XUfmct319UJXczVad+qrZjk1jWTvpKyyyxkhOBTX181S6KRr56swCPM4L1yPIjtj61dTqKYpEi1L
Vay6Kd0Eed2s2sb4z2acJ3uIppQX77MqtEM0pQuroikcXeRxuuQx8WPVxkPGChYnVJjzUDX2y9jP
stchzkoRm3YWedTLZj4itMYf50n2TDObVB8kadWJl3ROdSjrbl3bchq041Nz4m0yrJn1o1nJruo/
5p3KB21wsUQzyB/f6dL7M5L3+UW3TFOvB0wmEhX5xPsVrmbxZjaAjQ6noFnb1NMNa+YyKmuK1g2z
5Gs60GzVpsn8ZbKCr9Ogmo9kl/ATJl1yHNDRR5y3+MLkHRr0nBP2PTRZu+l7rI6BGKMPNLd5H/cZ
D7VPJxUN4F7OQ4Lmb7Lj1WnezMl126r6qqFLcmLrZPosmuGUjkW9mZJp4KtJlva2KPvggilXh3ph
1gZ65Kh/14R1NUS57Yr5uOj6/JJZwQ69xCLV5eD58WIHcTRDGa89ChxPSLzQrooH2TTxFNAmXQlR
m1IvcxmYdVp2vdJ94spctz32N2lip2vBSkRWvpTLBSstveGdwMe4Yex9aLg0OslmtsHjzOPGDaaP
517ls5b9IlZ9X+Z91CfZ1EWdKGks26yA/fO9znEjsDY8MVYnkkwmRkvmTBTacPAaTSy7mIpcnNoy
ID5KijIT62l0xacyDZuLdEmKywrL8hLxTPV6Kl17STnODud5locNN+qozGl9RpNl2nTBhMjpLGhQ
aFqmlGsUFGzUI0t4rRmVxWZskdCkp/NZtcih0pT0+FbZSrxLhgy3seh9LiInR2qv5Ligz8KmLT7q
srz9EKKR6HbmZPk4jpSBqRQpyjT2jFW6koVPvza0WpazKeeVi9QYpHbjU+ljz9pqiQlrFnOdd7g3
cTWllN34yfnyOC2GuXgjA69U1HkBzrLuW4eOk2Ye2gjN0yI3ZRu0Yt2ipYC7Nl8sjUg1oeGEZ9Sk
UY8WYg7TVualDo3h00c15LXSNeejaXU2ZNXXiSSOv61ZXh4vSdYeT0kA/kiKJWc6Rxmr1z2uPyfI
WLSyrEBBZItp7lakgca1VdF1uQOzDDC/RiTJvxVumqPRNvS8HXK/aI89quAeMfjYjSmutOSV4Lqt
cYfOysRXdeTTEG6Isk9VGBm64Dd5wEStC1I58HBGhTxKSgcuvuUiyhKflLpbOM4vcF+FDBBVQRGp
YepvxBASd9KXU//Wlg1Tm84maRHV7UJyXZUNPh4sp0vsS2h91Gjs6GXT8DrXKQS0Mc4bPlZ6oKnV
Tw8E78T3a9vMnUmzh+PYP37910VzW7933e2tO7tq7g4K/zG2++sf54i35ObHoeI9ynR/6Ps/8Km/
HNwhWzuk8pGx3pEt+Zc06wcrfUKxtjPuyRVmB0JKaE2k0L+ogMIAh7pnVwQGgFdBM5Tc5qOgtD1l
V6BYCzhIGSI49AD1nR/sikGvMPAxELNluGXYMOvxynd2H07GP/z+lF0BafwTuwIeCfwNvg8qsFLB
8p6yK1n2hOU+AR+Zm2aCqDmBhVBiUXi0lGhW541Ma6OnwRTZmXfSuZg68I5HObjwIuoaAVF2IqL7
IIE69XFTjOl4EVqepTrgpiVGp75F6rhxuM5DzQghpYUZBaIx7psl020FpGpdENnlGzmznEcNyq04
Y3U/oggIZWB1Z5DnunLBjLUVwEOjYcplrqcA21oLitmk+9IWTvu+oGeMZ8HXJTBb+/IjKjXncj5j
fZh+LXJD84hWZB6iWlQNfF7FklGzsQD3X6hUNhsWuKwCdjFWS5QnJDcRHfOwi2cxOXAWuRyddhDc
6JoOwoqVQKaxUdAWYt6wmpWXoSzIOcuYxSuXlimEXBdeZVjxS5s6ddMkJOyifube6Kzrh0LP3mNx
mRD4ys8pbh3XORun6mwmZVgdj0NRDrq2JJGx54ipI6A1s31Pl1y4eGmWkawKuYR9JBuplhUasiTT
Offqk7U9xe+5zfxyxvPOn4YiURNgGJRNrU3vl+OyTdr+ou8TVB6R3CunG0GKEyLo5LTtx+myThPl
122oshGIw1Qnn2yWD2w9hkFWbSCqdRQcR5vTVWv69ls31xbrpVXyOhN1kkWIzOzTWHH3BRkX8BUu
C3foVdu0UdbU6rpPrO3ifDRjf9gtBR8jhCvLdK14hbRSaXeScx6MGgs/83WXCzlHBTN9qdEsBqkh
waAymjAs65D3AjhR1/p+42wQ3GRb8qin0ZgTnPTZu8CZ/jsck/joTNoUOusxIlHpVNPoMlfmvR9t
bWCDinZdlniiUbB0XaDFQuhnYqcC64KhCuL6zPk7z4acaPDvKI1MVi7AcEsRBjohY0+0m6rpcqqh
dTWaWl9fExdAcqKoA++/CL68bUvBYW0Ym2pNqFW1LuthKSIaou42I1VynYxVfSEpw98MWvJy3ad2
GrWXbT3EYkh4AT/N+FWB5bcaeUS6wwQlvtFmDqnVfqqXKxbw5mKg3Ke6bbtp0cVglYsRsLdQq6y1
i86Iye0xcR3ttUHEmijlPR01SsYZaWIWvFyWRZpcVyNmQCsqS+oTrnzawK1bNf37OiUsi2UCwVUP
jhRvcM7Ju2RuilMcLC6Js65AN207kGWdGgH5Rz/k6jKH9OGtEy68tFKWtR4aLM2RLamzR9lYVhdt
aVEBEYskDExO5k0UOpXekn6GZIl3rUIwOC4k6ls1V5pTO6ZRMk3lxzFLsxBcWbb4j7kt0y8+3+IT
lrlhenZYoVjMI7i+yZQE61JMttQZVS04KZy2Z6HKq4+IwLetEpnPn5Z5pNnFUPWdgPtQ+OJdN7Eu
iSkKRBEnakk3jGTteCjglLVbpZ2YyhXPx26OfGtZGtOgrMCgWtEhXRtWGh0mVdrrwsuQ6CD0tIlZ
jasqboY8Q2vIgDOvU1tsry40gY0DZocWrncwZ31AKNMWi7DQeFFNAqkITcR6lsHwJUDSfqlYS7we
x6AZdAAJ3hi7CUiFLr2ac/iZukkL2YuLsq/Hb71y3UkD2Uqp05DXThdzMzVxLxh9BzfshFdzUpWh
ThnLxpWZW1HGhgN7jxswuFpTurgxSpindTQLlY8rCdQ6u0gylB11hS8WvRCZvjNtNTg9JYtf16QF
n9wygEAB6waGmLZ9dZYsorYnrirzCrhknvoVgxjkdbHwvFqrpHLhSiRV/dWoFm4Kb9Kpjlwbynd9
EiSL5o3IRFw6iHdwW0/mizHI+AhSPqTiEEztA2PC9XpJqD1OKoL7VZEqnkcpaxKnwZsipCFm+E7P
LeFKu6ACYjfhMmjjMrWm1zYn1SfTZ0kdS4c41i38mCM0oeYTMTYMgKUWcPMNBtUZ5FAV/5K5rEij
0iYm7kS+QCqFm6zRcN6O3UyhQa2GWJ9/UTwRqD5iY8/H8VMiKjBoLbIO34yuqs/9sphCE7zII94X
1XCYGFJ8zydSnvNJ8I8kMMuX0pPuOgvAF0azteIG9z5I9GwR+jTZPJw17Tv7naU8OwTibE9KvCxf
DSb+LExwa3WWWBrqps07G7dtaQqQWyx+N7sFfxY8TzOg8rYI9QizL5OWjlazkCzvChMs34vADcdY
ghuIOgN6zQhc3EcgcoQXjFRmBiaNMNdDR9pMozazkL5mAz7iXsI948dCgGsEo4Fsyo8DBUMZxIci
DVARFV0iB10mzLVrlqeNj9nUbWkqL9BZVrbZdT8FhdJT21AW8bKc1dsUWHQZ9QZE//MeHkWURkGq
xhm0lLyuQgwxfjD0qgiRy2Di4rA/GUlaTW+WpYKsWhMxenWahngoTkUaDJBSgwNN6g+iNK6IR5Uz
uAcKOSUbXwQdGnWYVggfzQEv0dtubhWOJOvKKoaze2EdF4I2Z8q2qjypQcrqQN7J8bVU6Tje4HlO
W0jzkjKIwQNX4JnK0Jt4HouEbmfOS1TOGf2WlkE+RhTNVZ+AK2KJi1tvkiReJoeSo97PPvssFhew
VR/0df7BzUNt4zLJUb5JzJgKA9oYIjiq+AwbEzoyA+xLPyRfIVXr6QqNdcg21lslrR7CcmAKHFcZ
tvW643xAt20BbkwHcKgNHYJaEYxLPIScuVFzVTF1GhqXzN9dOKHivAcH0a0drVR3ZorUdmcJKvLw
KAsLvPBVBdxiGuMF1ahcZ2Pj5Ula5DSN2JLa9JQMrEy/2S7owjhzEwKY7pJHwxJYKMl8MoI64Bmd
9E9SRh6iJeqATgf/XykjXYTBn/6bZDEnbSu/hCPGl/cpYqV88h15RcVhDZn6DF6imImuEoRyTRa4
mWM3VN6tVTtIt6lLECmOYM8LH80IhIJIdHnrLnJwPOVJlhN/GwCNPlNTIr/KekZyjdVcmDXu+p4c
UjWE82qsTU2iReJkiSwXKY+XRRoFmzbY80b1AchbHqMmArEmTU8DuLAykgHFs1ZAtSfdNbL9Bj7B
+DUfegW3OkaGRSkdB3XhpAczx6qkdsWAdrTA1nwKqkVCWg9KiULfW4oKYPChqYF/F0tLV8KTlmhb
Z0USCyxBazXz4MpDIAis0y2fwN6SkIPXayBufmShCeGflLUfLAM2vfazdDzqxpH1UZXgSawaafJ3
TTdn32si8iIqB+ErkKjYfOKapGo1aEvcxbaWLIWHwfTe6r4VY6i7sBLqGGcpbHEnUfY5wI1sIi/S
AkWOdnkV1dwXQFXaAmVvqO9Sf1Rzayagt7O3J2ws21zPWTLbaBlB4NuEkMrLqKjzhenB+6I+a6dO
ZNqWqiUnRWhBLUtpF2SrwcvBgBSFxyAOEKCgZSYKvmJ2UVlUwIeVMfJtlkSOdQUIQM1c+yjdSoDx
mGfjrFEfjtdDsJTAovvM3qaNKcNVm9Rt/q2BdH7u4jYNILmYe9Ms8SJwb5eotXJQPqKpE12h7eD8
1OqFywYPoOi5kJex5Cnhia4nGiSreaYOFMCilvJCgc9Pjpfa5d05yIdT/lnycfJJVHcUBKqoA/LP
PgD1zCkQhK7ZChJ/Xxk4e3z6264McJfg/qER/B/VD3YKhjv6wX2xhkPq/Z+LNX9+yNuTOs926r2c
ALU1JUEtkBia1uAs/vZszr2cIA8w9FFB/zQcNUaEQDPvDzlBHMAAhqfLQQElDKnYftxDsQZa5wlF
UFFV8IGMSEn/jpwAB2N35YTtQ7oIPKZLQnFw+1A7Cst7KidQW+RZWLMI0mh5hCr1wUDBXS/U1Cvc
dlmsPA/fEBuAMD4XbiNEJVcVhnwLeZxr552PAtH2h2FCaMSbpXtrOlnreg7yt8vCvG6kTHUl6k2e
D2btm2Jet6NZV9S5w7bJzjtaXxoD4kMKTWdxEjgg64u85rBrG+cN1D4qE0PKg46mpCBnsyvWS+Kq
dyzIyVuL+pN6btkRcjw/a6CVfZ3mMoOEr9+gIV2PY3kSzDkk/4EEQR6uAi0gaRbyeDbHUubZSWeb
jQU54rQK8pjS4abv5+wzL/N1TyqhoRhUaxXwk4UnKCKmMpCJpMtaoW494OELxIpN3rWHXY8aLdou
jWyz3CR5kMZhxY5nkFN1HdBqVQGX/+xLVH0psll9wSSFso4MoSgDYRwInllT3rq4KUdzljGzwNcU
a0EXCswWdasyHCC/4OztrIhdozq/GcLuc5gW48aH/duwAWFCJWkSA1PceJqqFQuXNEqXaz4Hq6Vh
sCcFu1Gk+DQBybk1wdxEtM7IOnDzW7qY9rBsS64FASKHa3aDyJS/lQ0nK1rLMG5wZnVLew5cj8+a
2K5bJQOr1sE4zzcoTeVXxTq79rgdv/AmbePOoT5G3GFYkrRnLR6nk1rgLy1mICQvtgBmGWKeaVKI
s8CkN7kBjjT0fNHU9+351LWLlml5E87M3Gz/YVJrV62EPLr2XXs0BX1+Gg75BGUzCRsyt7P5uqC8
Pm1aQTRr6/RQZE0YW9nZN00613opjHA6m7MsLrxjnxqXZpceSjLHNWPFamC+jwUbgg2rGD/pUMI+
hW24bDBOxveLKMb32QKOWJdNptK4b0egqmLKvxfh4lZ1rZZNuBhzzoydVmQO+81QTiAOpATlJ9O0
vOlK0m2g+Bi87ZdiOk5Y2kAQGKcCrqBr1mhKQJQCVe/NIGixFYXCtSgnn+kywG8hxvQaNBh0Yz35
lhaB0hg2+dvYWaqlIyAhhAUpVmFQk00Jpf5VZ32zNuMSrPqsCU5a25KNr+cm0DbN7Koqk+QUiyY9
tgNoES2dL0iTgD5gO8gY5jw8qwfGTgLRqS+LMun72cAhuGhIfLfpkqGKMgFKfKO2LLdIIFpO7+sh
69Zc1uRjOwT4JJEhJHY8bD6TGa48baiD6gn9QvnUruq0SDaS5HJl52xYKwz20g28ulSmv1LE1Yey
Ve5NNvL8WEI9dt0NfQMEOGziUfTlUVWmSQrpBmxtka4s1LrXW/3/fQL1Vb3UJY+sabJLRM10zGgC
zC6VotvAkRZ7VokZ0ovGTet6GMOYTqNf0aZRpwgyincdfPKxz8ZijQOUH4G2kKwohNezKkVixQpI
iggK+hNM6/ZDZbaWnPn5C1Ul+dR1zl6OQ83W7VQPRrdOANMmTqzAe83rUWGgYxX84Hi6UWKaDn1J
whizHh8FPSWXiwj607ycu2MI6+q6y8FQFcIe9IZs5Wq5Zn4GHdZfznV1ndfTDElv8QkN4QnN0/MU
fCFPrrP57VQUuoH0DPbffSBsuGKdkhGUxM9FR3TusyoiQydWnNTvPA7EySKqczzVt4uHFE+OkMcs
rlZH1CK2tk3QXdPBnvx9CvFayQEEyr8gB/cP1NztbHrKD2D2Q7mBHkgSYgrt7HDOCrraH+kBnL+C
5y9C/QFRfFdRgCmPvRwIHg0Ybo8nMIXhGbsYagAP9EAeQA8HRHkOJ+hICO0Xf6+Xg+7TAzhBBM+t
o/CsTnhcGhAP6IJ8Sg9QBUX4uaKHIFwX4JuyuVwNfYuOaT6p9wrLcRMsy3IM6SY7kS5LbrtAqvPa
4+ZtC7EeSszO+VVdTcOl5eNwYku+nN/rmKDrg/o1SBZ1lW/eg5sYVk70xWGGcZmt+m6Qccrb6oPv
F7Yp6jb4mnRsKOJ7ibNEPgyPBCi766Ke+WZucXLRpTI5Tt1cXiw4G9HhpAb+FZ4kjN55NAUybrkp
6fdkKStoy5Bld2gTnDdQMQ6m4zv9c3EQsIfK2JVoFwg3AMF01GPZR2lo0qMycBZSdFDelioQKCqD
gXwLUdPdzjhVlxBy1EcQb0Be+y/yzq05Tlz9+p9I/0IgAboF+uRuH2LHiZMbKokTSYiDEAcBn/5d
7cxkDrv2rpr3cu+quZgapz2OuxHPs9ZvLdqg65rdUPq0SLbW3IHalnqHSSPNh0YPl3QbzU3jV7dm
bZT4Hwwy5flPemlLpfzucSezGY6B5RuT66kLFv1jE3p53bauege9iB1XZrsdr6foKzYZ+MJvGuqy
8Ebtw7WE/tYGXO7ZnNI7J6y9SeU65V0X0TtmGnfr1iQ8UiHpUwBiZMl1m4Rl4Vox7AKAJZ8AYoQK
4+CieMZr1twJSFPP47xVj0HAdyWWvz6/9umdjI36goMyMFmKW1WWxMQ0ex/3+L/Hzp+46dl9F6YQ
CAZ8SIqEdQZqysiWQy2Jna6Glj3otJYfem8hQkSRelrrwe8ci1iXYWPqd2JprMqmOCEfTUvIjFFx
/jQlg3jl/RR9CjFIYpFr+bBkPQvIN5vU4YEZ3EE26yicoLb1cGocHTOYPdN7FjhskLExuDtCDnn3
U9Od6s1li8O4XNSJc58EfNqd48K1WWei5FOfeAhDpJ4/paIkTz+l3i6dts+idhTGAxNPtkPvaubT
qz+s5vY9HMIazkjppqd6sa0+/aH7QlPRl5phSBKRhV4FP6PfWxkuH8Rg42PMe3/5qQQ7UBoFoBr/
GZZHn8+xDiFyMX8Tt5G/RFNIdks3XzT+GufeLuPxpz5s6n7YV12Lvw615hAtYf8aV77Ponj5gnkg
yUCH3bXpJO7rhWGuWMsYyM4qF/mFEN2/LpF5jhrltkz4rVqyaJu1zYgX3bRfCAib3trhsOggSk4j
JpTC9W3fHg3MJfbQSdijWUJU8BivG+8uenbk2Iuy3zcrictvaWkJzUusz+egsZDAG1AP2633g64h
CUzuCaJEYu7HWTAC+WyL3oXrIMssaObhltDFvk/GyaV5tZbRng2wnUbmmw9bTx/GYepxbCl+57zF
V2VE46Uoldjq0wryo8mmbTVlPk8ENAqr1sRl4eyj3Cs+7hs2L+QGzIoE3KVEfwftGfplww39xH3v
2jyyyZi+W5zov/IEb7CDJ6QLCTVj2cG4CA40kB66Shf4fTm34wiAoYFlAwU3LfssTMeKFSP+Mt2F
Kqwa07LVoEo8Nqpt6OqzFrKlT5v3qy0a3vy4QkNfNZumHwBDJnejtWnTO8NiUnRjqbddJfumhn4R
zduFB4mTO4vj9QAz18JAmiCl7CbXTuTgwBGcIhy//D1pRzkVYTS2WVWCT8hZWw3Q27Eg4XBNDASU
XsCRycYwvd4FYPPMOzBiSfCwrNdjtQ00fmkZBY/0bSwDeWZKVUVTDfPHRaWa3uEQIncN3IxLD9Ql
LZiETQUxqKLwKpg9J2nPb2cgNzvtmL0sI+mxfpZTtS/FmqicYkgqcxPxkgC8qZbnag34p0g3HoiO
tBiMeDesRQWj5SPmHPrZAzLcwx3sIKaHvsVHyqdlDmCS7Xis4Q4AqUhMFkA2+wLtlBflYpbPFJoK
5sBWP5VVCUgxGO071ia9LFyZdpmPAnfGaB4VUyqXj/87s1DwH2eh36uR//00hNf/nIZSzDzIZPyU
Q9Cne8UyfldLGCYaRDUY5RzF4ckfaglKUQDXAl1GIw3FH8EI9UssYVBcUHJIGXgOjn/9J2LJNS9l
/wK2ojQWpTcQZUBx4Ce4Dkt/AlsJ2abJMhAOiFv53dpvBOSk7VicWVgM6dNcltN2TyMLzmCeaWpx
Ai7DGfPKdJkXUKQ/8YnWRMF9lDox5+NAyDnt1tEClVPBEyw8VZ2mCNfiCVdv9L2eAW1mdHZg8oYr
mwQnt1yOoiuX+2iy9ZCzdXS0IG6bbxoVgZEI+NSJQgZ9+Z1xH71LbdjTbFJx+oDxCXdSNU0we7wE
W5L1CV/OMZ0iWG/GJCOuC2iMWcxkOB9H03X7MmQUVmDt3Idyamt9veDSOIvLdv6aNJVb8kG5pct0
XbV3dUBtlAVyncF9NZB0M/jHZQPrA1wjDIv+qBT1Z94ROhQ8Wq3OqoRZDwmWji4fCfyQbOpw786S
JoCClEggdanXNTw8OclDbVdJchtL+NGQtIa0GHXrbxNugxBoFWQi4FRDyzPAW4wVnVUL5rW0fhhW
oLRwafz8g5XB8OO//+K91jrA9v6Pl277VpL9rxfur9f+LnJGABy4SCEn0mvkA1fOz8sWNQT4EjKh
1+smjHAd/tpi0PIBHRPfiaZogrtWXf66bjl2IopvlgqsN+hvYf/ksqXJ35ApSKxYXBDoTt4KNd+a
nf983Vb10mCK4HlTH/mgYUUIJueC8LH/Hre1PJRrIJ77GgN5OHnysCmrchFV79pWrZm18Xu20Kvw
F1cqZwrOC4h5zHYWkE9Wbe5Ztu2a96p3N3W1dqCrUjGcsfcAE4omQEFwOmZ12KYmuFMkSJ+6GdcV
gTNIM6uS5h546w/Y0eprUgXmUwtzM68bE543uyanqCbbsaS02g2iH3a6xtxWvWk6V3XHwn3eqWQO
jxYI0y4KutlmXuPHW9o0+CoVCC6v+Vc5D9t3hqcL7OFfx+/p0oU7IQOwH/UWLJexioPzKqQ8BXyJ
9kk3DxfoPGMxclHlkwj6vDdm2YHJkU9sXbsdJJxWZc7EILRhoO+61tJjNBDxHDSMvbjKdkXI5wnw
jBuzoBVQZdNOSYn7dzvcSyqmew1C597Ytntqk5p9w/F2P6Yp2E2Y+UdjnQDFBogb2gOc59kMMksc
aKK+4ewyaQamGdgj1GRYPrV34Uk1rnmRcVjuYKSUhRgXvm/E4i4+6Blmcd/lcWlak7Vymk8pn5Nj
yhp+4+Im+lClMTuH0To8O7+xL6qdgEv1JjrEpVffFjilPKNVrG5CkAFFv6n1rLrY+iwx3XYbpaUp
M044VLgUp9sOTmq/CxqftMUAUvjQGQsnMCnZTatqtd56NY9nAyz0xSWy/xovEFQhAUqylTT3Fnoi
nUe1myprTlbr5jRjI3wXzJN8ghZGTJFCi5NZpLbxPu03u1ebSo+T76uC6w7k9Urks9YgAkznJnwC
N/5REK+P4+q7YkZe6EiTbrqnfRIe+nEZz0ldu9dwIeRm43J6xUk7tNjP+mUftxM/OpTfP65UEezM
JnwMuno8usT0N24RcJgIDLscvqrQ2X//0fpb2ueajPn3GtHfusb/BKP+tJ+ur/55vL4VBYcRTi+4
8xwnKfJZP49XpFSv1ytOcuyPAuzQn6ciTCgxxz/gT9EEHeBLv8Yi/Kf/byQV09m/zEXgZUOYyAzO
FOykayDoT3PRLyQ1CHpIqMlWh/CsSQMxfR2GFsqnSHEqzSFF/mab1vF9BNOaZKBV2ZbRhlfrXrYN
+wQb1H8Ek2F/uLKec8QGpkMK7IHnFKzibUNXag4jbIow0zoGTFrPjcVzkTCpYaefp23Hqrk54BA3
/NHGiLxkCAqNwa5KkumZzf14t2kPngbOP+BNv6Q9zCakatxui4LtWyvi7tLXNB5zStLmmPQLDHYd
IReTLyZSTRGtq90ybZn4IumU4nxfNYTwMkEwZbeNndzjf9I/kwkUJvBP9yIIAbthmzZcgKGu2FRB
T2GHKZcN6CC2oOHGY2wbszoV6ovvW9gsYIvm16azpoIdM2Iy00E1v9SDcN/aMRJLsagufDIaOa9s
MkMA6T2KkJ6SUG1mrJQlMMBrdOmHMq65S6o4+h6q5V7VmC13YdyAfxRyDH1WzsOostJE0Qd1zQBk
abiJLedOyh22YqKeEeNy1W6lbu7P4STkcGkVT/ewZtLoBdZZExZ0VnO44xIxliFyAfmyAdP5hndD
p7uVLXo8zox8MtK541pfcGR5CmzlMppFFf87JwUuzv90UlwfgfGvU9jvxwxe/JuYTPHwivBa6Y6L
Ealpgenu50GR/h9M6BDjlkCdOAB2gWHrdzUZXaxhcC1UgdHM8OSFP8xmgTYPSL9ChDEgUZwz/2h/
wjD414MCA10MCh7VRzi0IhZdi3f+fFDUemXY4PwhhXGyZhIE0Us3xexZDgmSZ8igPaI4iUfHyM7q
tAyIidyB/wOyiQFv+qzhlPKbxsBvB0Vc1e0JoJXzWQjsOTxY44LuuEhKmkPqBnxVU1aVu4qycMJ+
0Uz5Bs42vGviQKU5AiPlfIPP/5wchi00zQ4zAXjsagCrU/UASaBQ8m7N1cTwmWY0yPtQACY3WoCN
UVsSHDzmwvDIOixMtOddh6VI+7hY03QuH+Y5EjW4YMCFh17IGFBqNIANpCkS06A+hf88OQEVa6v9
eGatmyHMAAyBKwpkbDfYfkmPi7DVSSXL5nOylB4sbe+35n0wtTGgd+xTcTYnPp4LDcIlyko++QNi
NWXwgTaJQ14OsDru7nw9xB7BlBxo+3iPeIE7GQ+p8Wa0vXPgR429aWg8PFpL7CVxei33myoXtqO8
Xz6uoWV0xyDvPVWNr67Q1AiBuBph5QnWJe2uLWdRgrIJyjOvKH8IAL+RBwOq99MqDTjKBNFORCzZ
1BWtcK7MtFLyC1c9a7MBv/kvwdZD4QlCcK8QHtmUHEsQRbCXSb335bgiuhNQhbROol3WRUP5uoW9
e2n0XG+71VXJZcRiCY5u3ooxRar1gWICAo+KTMIXCGO+mKM2shlyAXK7aS1J7pYkrL8SELXmFK8k
6YtmMxK/o2HubnpGG5tt0Mh0XodBmkO1gPBZJb2estlP18My3jZSRJ2YgmzhtVnPbSlJhRuaJeOe
URczvOUhznkGsjhfug6fxniNxTsIxO0XoYHqPvF+9QP8fGmDDylJug+hAbagymjbMklp9xC123Rj
bJy8Ij8KuXJF5u05lm61u2qhVu8Y0iphbjH4ndqhwsA94XcEuEqW8yM0MYCRCZ/gR1wVTpz+gM1i
7EAvVYy7nGnDMoKxmIy5bax+6d3Qf+lhB3S57a5ZB5j2IIs7rdr9ArNCZCZGxCRfkFv6MDaQFODH
x1iSII2AGzNiaR9mh5vaue1TKA21T8cDWwSA9O5KG89JLe4IrvPnxM3lqYvHtvCdik+Q6LrcpHV8
N7PePZJqFj9aIsquCNiIm6FQkckEris4DB0UYp0aWeV8q8rbquu3fMST5grEDiyOhBXQ4joGr6lm
+l09DD4+TbqWTRZUaqSXaYQuD3WevZYSLkoxbotkQKtq1Wa9V/ZmkOxVLc2d01F0lshJ7sLI1k/h
GiMakyKdcpcIALtFa5q2ywJnu67YugT3zBBvNrx1JB3PU4tES9YgG/wBhzINszUcoJZqvZKs0cH8
yJC3nA4maAi55/B0tlyWsayeIs/VRyNccHUoQrjIIdaPXAgy8xPHe/8RgYxY5uEwirsZeOFwBOvi
4BmsNYIUQFGzKtq+W++4OwQ6CH44WP+Pm4/bCyFiw45SJ0tYKNnal3KrJE6COm7PFk9EmrHDrjHO
U+VDtY+SNdCH2HY9roh6OJJFHS0upDgngljwHdftMTdyEkfQBOR76jaELuQ4umcOqn5XG11+XEdc
+O8JvgFAoE4HYyGqKZ7O5TBODJi0HE2GDcz1mVzFzULAy50Qtw0BJzQSOSWVTAjchmbtPZaxBuQi
A7FU55okSBqJeuj7rC2pDLPB0u1Gbd30rALWkx1bU+8y5RV8///+MQMTMHaD/yjTYgX8o532j2Xk
1yt/mzDe0nEYFtBwiLzCW33RzwkDfjW/zhC4wePJMgwlh39MGPC4r8QaWLMYlTvRn9Jxb4/bwsSC
/STi+Gr8T5QeBAL+PmDQGL19MFFDfC0W7G8DBkVyNBIuPo2IDLV5ffVpphaJnAxhAneHE1gledPr
jdz4AIf0VNMo7xKTOlDurJ1z0MkoJ0CuGGl38WYSsXRLloIkM4F5pOEjLeEKR8lGD9PVY4Li4ZG8
gLMUbXZIc9yz7HvT1cMtfbOo1Eiid1bD/si2Dfz0/VLH8LPerK36zeba3iwvcXW/kjcjrH4zxdap
dvt42shRo1Chu6RX/8wjwZbixoOZ5IH0q2uPyvqgqKOKJyc9IYzlr27cEAMz2XW9slByyzj+CNuH
2FxSaR6D1GAymsSWOUvY/fLm9MWDCOWOM426htD1d7xLaQGBLnMQXXch6w+VSqtzIPpCa4Lo2hCX
mam28NFsM6CSjd0HNXzokFK5v8YOTtqjmSAat2KokimvNKKsjML9GktRTC3MpW5EdopAIlcYGi/I
ydSX3pJnNAwcGg5zseX0dpgmuoc5fMIdA4NcYIowBH7bpas6pnwAgNQg94Bjmp9aJBx2cHABRY+Y
uub2hMz/l3QiN4PyiITbFUCa/1DxQJxDbCZB04MlM+09yKczBXWGhXU+qK4+zSR1xTBsTdEMDAsf
4g3a6OUFE8N6r5WbT02SghAE312iD6Dmn98SM1TX5hWMsP7a05Hsx3nluZ+2+Tw5Jx8rwtW7tOYI
Nm94KgI5SzDl6wVkMMBHBdfcZW2icUQnzZLZljRN/ucMDfx4Q/dlG7tTHbZj8q8ZGsRx2kOg2uYz
CSAGiqvO73yP0IEf+YGPfqgwciHtTio9vgTamOewMvW5InbAKe7teMHfqn6YF0PAMDsOKqJJVrh9
K8iQ/ToJYABpIBHtWsyIC8rEVXPrAD8FWY8VmsIcA7eOUGEXZ/0GSy3r07gt1pK6l7gGG5o6tRzj
uiXfp8lNjzApkI2X2l5gyy4RVs9pPmKCH3Iu+VTUasRvwgdDlE/DgM/g2IXn1tP2EQn/6RLYZikQ
/6kKYBbmWIayfipJVesCfjW5M8oO7yN0LRS810uecpniJtW46Lc8Dw/c07Zs+grlDQ/4EIHvhCEO
/B235xC+TjYMc7ILVoP72BKrPapWhu/RtCKsVC/ipWpq9loxNrlb1FOYRO3pwLB7A/dDUuB9gIl8
QGaKrPE5Fmm/HzWKLNBfwUCrHdBFYW5WgFjI4hrxUrJZ5VFdJzm65KtcNEhoARaOMoXIxhcQ9/uo
e6+bkZ17iiKM2oTuXjbdul/AlmMRf9J+vAEldgjluKv0VDThAMLGHUcGJXhp9B0xSXts3MB3m0xc
viEHe2dZMt2Wut4KUo9PeOe3RwysBjtO7cDGAxmcZpd8b9UgbiyT1ZGX63t2hfmpgm8NaHh6jQFT
PBg19Tez0zuftnetn9j7ufLqRyDn9btf6qSATow0v4ApvK1Kvhs6YP2VTsJL2ZL1CwryoB6uCLQe
ez9WO5hItgCUgaRE30YnHJ9AbVrMTykONYC/rdLwh4bw/Yb0VA7WyB7Skqr96lh8oTrlz3LZ7C1y
vWK3bp5/LEPS7zl778VNM8kHRZFK0bZPdmKqH0gdjvcJ1ih8E6UgTggElXzgC8Oj5l1cz/zOj6A1
MXKCEsZbgwVqLo9xZ+Q97mnX+aee5twkEQjMKZEfnUjdcd7IXCAGwt6xtfX7tyhVt7FtRciUbk/V
TM0OQk99iGYRQD4Pg/JZW0tzt6xi3+NjdmDYUvbTJs0paiS5Cd2y3ETtaHJqZCExK4sxUTvl4waH
HmM5VQacQjrG9zQm3YG0wTsN5TZTgAynCkOWV/o4mOoAtOG+quX7Ri63pJzn8zaFzSXFan3QFKPe
uMCUkMug9jYQFuUVabVL2DjtExKAqUFCcId4GC50siFWl2C5OgJ0rfJUzSvoKoCYk6w+yJKLPKmG
5DlZ7Q3juIhFuxYjKR1cdHn9KPJQYoTeYrv3w9AY3HPJQPN2rpJz41xcwmQFDnunPRbZouOydNng
15kU+IhRsBZLc6pabcRJq5LrD7Rn22EqkdPK517OO451+NAjaJZXfhkuGKXTUzCv22Xmi+/eLwnR
zU4JV8eZtBDDQFSuUBED5C3GJ4kc+GtDy/FdjKjp4zTKEYzDGPRN7iuEsoBSj2j3MZOd/XHbsGMU
cTVFX9IqTW8xpNYZG3nyHWlfqfKtwrVwhzA+7i3CxCrHJoCNRbhoOE1WlEHGe9tSDCcK90fI7yUU
9QF+BYsU5tqmURvPLDUc0ZuqiT7N8Njcvh7WxuzDDp+DI0gM+aVLFvixRAtaGJzWHThtPSL8mqbn
BerPESRhqjOwsMjpUT08ULe9EmOeehXPIMFXpr4GaJgYscQj7HPA5yl9rAOpjlBCOtxQ9WaLdUlc
kpUsaM1exCNE3qYKQGtYWReIyrDCY099Xy5Dw8/dmHRfygbWR7bACQPeZes7VNdECLjUwHZRlAOA
xyszgdUFxlHWXXUMPVuPgRzJR4yM5kiEVx88S4aP4aaxWbZOI221ga3eYH+PPho/BCsWpcoGgGig
g4wH3SCFxNcheq1G7PVrx3Ebxp95DoyZbgBe4cPJ2fZVyOVIkL7e224ct/8lz+I/GsJ/ebzmH0vC
70IkXvu7Y5HEkPgQMUI7BB5TTX8ZwniqdZLgyXrQemJAocCmf60JeGoYuAqohojXR2gkA63xu2PB
/y+g+KNoGYyxY+ABOP8o9UL51ZH4K8kRh6hAY7CdEX2D9/xXITJCFndgPSp7BtrcRVetPIQZ4bMu
9OOcYSoBszW+SesGVQ1IF18Vd7fRcinMVYfHVjm/8Ddxvn4T6hEfnV871H11yOEO+sv8JupbnIrD
TfUm9kdDTbAfXz2A0aA1KCvfrIGNji+bSWEXbDrun1s2yb34aSf0MawFfEhhMyA+XX7RcajoTrfl
eJEhSZK8tDSAM+EEwqC0isylmxnkGuWkbQ/IX5a3BDl4GNdAH1W+DOGW7uhqgBiuPEqnDKQNsn0b
3l3QmzPBAE3S4KarapSSNc1c4cidcNPbBSUEoNzPOFwOJd+MO4yG9O84mm8Rsx6AjO5DWS34NcE0
fAl9h/meIgVK92vYXUPh7TRg1UCnBs1DMtrvck1mlzft6vErL1e6QylcAAietwu8215/AggvAJaA
aBNZ3DbTMUCQdIGohZoJjHwGmbY+Rghzh2hktO1SqYXPW4NM/66eajJlA19feg5g5wQ7HZqmmgxi
TfiRWnWw3UpsQdYRcV+WoOdnNvaHH3oNHcdfwTeY8n10N0psQQhKK5sPVRuckqvL84Kfxj8OJty+
wUmJzgtwuw304NB+kkNIb6FJDlu+je7KBhI1v++RH6myWYr4yV7dFIhENvkUKDGeJKTvs1owLB5g
oSWvVRl87cq66XYuRqVPZFCcV/SIGvf5tkYJRFQy9l9bLWqbVXHFb+uEGVSCoLTm84qerwT1QSXT
yDXE9Ifh0xCB299Ee4yH5JqKFGKikPxs+VSnW9gdek3SMXdK4YtIN2BPjROInsKw7vQzZLh2G25Y
nLcJoo/bUsGz8xTTLqs0MTDQgXnmJhiRaJVv/pG4WknizVVK3xwm+uY2yTfnicKDiq9m1H+/HPP7
eYmz79+7Pru3BwL/e9cHL/552OKBE+hkh/WKR38lCapFftnDCZ5zlCJbkIKOgzqa/GH6xNenh2DZ
xX+8Av4oDf/TWQsj9yr7AOVJUHfE/1GEALbyX89a0Ddwm1GLEAsc6ogR/80djpHdQS7dFVaTH36K
fO5AkX1QIQozBibVB3XNfbVppC44rL+RTj/HLr6VIXaWxd9GLUZ1pLOQma4/rlGPApgWQVkUttXt
00x9eyTduNw3bXJwCiYoUaPYlyqFaouaopxE6ecyDKYCLZQfsYHKopF2KdyW3oL6bHYYq9QFnZJg
dFo011QQGCBIyo8MK3gx25gdt6ieiwbRaWyHSu057dB6giWwB1MLlahe6TcQt89r0Af7dam6nJcK
dRLGbHddI6Y7NLNj6dewbcO2f2gG1CLlFUpL9smK+h2KReo5la2EuEL8gQQUU9GKn2QGY32EVLAU
U8J6xJ5rn2/D+qWkUVXArV0KHLZ6PwOse0IXTpp3xMQHQPDBWfCyOXlmp1OZRNsBwYJh300Dv6Bl
BnnA2VZf45pH0xXoR+JpEfxz33RLMYyEFMZJ/pQYkSAK4NtbLfj8LoiA4nUcUYUt7tpHi54n5K46
euh4UIwsfOm1AJqC6sCtfR0Ty1AtaR6alKD6BCk47Payz4iuHSCiIchonQIwRBZcRV+Ns0u+RWzA
4c/wzeqIHCMHw8jHGnnSClElIFqojGsDUqRNbDLcKS6RDmjeTSK5xUr+NVXdV2Wu90AwQGWA7Qgt
mxwvBuAL5cnldgMSjejFPZIBGrKIWYo18Mhx94PKuEXdJ3pqApRHJjdQy9e8bNcmd6NGUmAm1T62
6ffY0A9V3TxtG/++KshSxKPaAoCRzFKdQlwi6lLCGgFST75BPD1No79zSTzvcH18RlL0xYZenLVH
EWQF9CcrUSW6zaHJh7ifjtxZ+2EZ5X2CJs68jKKvnqlPfIw+ITv62MDazWA2EORa2XSMYoPmo5Cq
HEGEF74ue6QpsVd02AjGZkUJZYjaqmQIUPsJV076q8cTp/uRj1833Jv3eHpums1zHZyBGgRnO836
tUON8z7ytDxus6f7Gc1+RVRZsleR6yALTDoPsKbvt3hK86ZpqnfoFRWPPmmGfV/jq7pdl08438Ms
5JzmAD+wFM+lmm6Qoy3XIp3D9OKQwd2joQbdKzBgfQVXT227iJXbPkQHwwPqkfoTug7TrNY+vNsQ
1BC5jVTyuJUcAw/YGFhzY/SYgr7FToFo73nCxcgL2oSo0lM9l++ZGBmKgUDZgM6z5cdq8qhMhal4
LT1s3pY1wA+okIwOeAiJe4b0Gl+GMkHZX4UK5SpDZmO5dVEkdwMquS4M/uuxXSp9M6E99h3BdIpN
qivJCWexyBpFtwdUI9C7teHxXtjV423QMbJDyBSfsVAGRUfn+Wt/TX+OcOS60FXnJIKEmNNrSlRq
vezSa3K0uWZIsYSOO45YqXsLmJq3sKl8C56u1wwqzgj/hNaj7dhfE6rRNavKr6nV6ZpfBX1nduM1
09pd063VNeeKSthv/zN33RB8+L+/6/6tNvxfdpzrq3/edhMUKoM4FwBccfdN0xh3159WCDL6eLI7
oNcQWNQbfPVrx0ENM3RzhvQenm+HEtVrh+BvVBasENgpjOJ2jFg/T0G4/4OiQPwsf73vRgGybwEe
MgHSKwWcFf7NCxnRVMHRzrJfrSzBR1XxDG0TPWJzpsjc4YAFrImisAkf4QVRH3DhralvmtBDN28N
kvs6HCCglujK0lEZZrzS9JMJEMrBHTJZbmbw2G1eAmNHZ1+w0u8GPbhPAiUde7nh364xuUuMLPeh
iYLk2M+LvEUcD32AaoqjnXIiOadtyh5EyZCmVmEF2BzJGX0US1JBnJlClvuBmiWnYDb27Sr0Dbo+
GdzLPkJLrECB7yd00LG7fglquW+68TVIAYtnI3Y+e1gb2lVZ2zNhchGo5pSYGf1cCMUVlUiCYVcS
pi/oY0IrnQGIvJeGVbdwisoHtGt0AhK81l9sM82fx3a0JueNKb+tyvSvEqrMjxHFKcDHalSBYJHC
ROKTE5Cc6Z1ErUiUwx5CcxuSd2URDCO/oLZ0PDJsks0Z5Hr0gLNR3ZbwMshBkJX3RzIv6KRNg17r
j8P/I+9Mltw22iz6Kv0CcABIAAlsSYBjzZNKtUFIKgnzPOPp+ySlX7YVoY5wdK/aS7tEsiSSmd9w
77m9cD4PlhN9NiZ4OTBcK5PjzsH/RUfXMSfuG0QFnMjai5Euw3Et4MUEwhDRF5Oj8sbNpuToVX35
WJm4F5MqpZwYeM8D7GVpXW/6WrrZPgGW7G1TI+8eCimLb4nEvHCda/HwNTE9JV0zoC0Eg5Z1t+xV
x+2kKWeTYXrXVWatV0Jo2p7tnrkwKJ/Z27Db7k/AcOa7NJmKIJmpbdBQ9/0Tp7iAqbyE5S19g/60
QEMtKGXGNf+cNJn7BceVfoXMFH1aNQ2Ox6CKKgDrjtcax9yIEFJ34SAZ+1Z91e+6OBLfFjTaTx4k
uadKA+26ad11itkZmbYbrE2UTNs0r8z7FDfBsAtDqI7gfXP5niE4jndaFqbP42R2cGU626HuYWiw
SdpsfGL1xrxsAd/V+W1lYLWKQ6d/6UYUsD5Ut6ncauYUzttYFPpd2q9Ovh3CpRz3JXbPD/zjYbNH
cmOk23Bibv1RYAR3r5BZYOVOy5UBH7vC9hRqEVSbQa/daocDM4y2GDHDFpf54E5+2VQuWgpnTLe8
cG4B/1tx7jdmFd33cRzeRTPoDD/WIT6cSuQrD3xEgVBonZzfRy13Dwze2y3mpTH0I1qFg6tw0U7O
Bxz73OLcpSlDuWDVpsXcNhfONCLU9NZU8OnEK8JvqQJSj/hux42jMNXiQqzuFbw6FlV9bi0LeqOr
4NZFVK0RmkWQ11yPxdN84WAXq248txI49rLWklHxhZk9XvjZfA+qj3y40pvhwtc2WP43fn/hbk8e
CO7pQuOOLmRuhBqK0n0hdtcK3r1WcR1IBfS2L2zviZ3fvLWctcTNn60Q3OPITgFwSo601AIiBrAJ
VvhY29ErQtbZ8pOUIQEKMrgb+37GIYZ4pzhmJpr2bWqx0siSbrz719ydqrX8/d0ZvP8SKPUXx7t6
5M/ZIHYPhIA0q6j9CCr4z73JlE/nfyshs/2LhIBOVtlKUDGoeZ3rGH+avDCLWGz8WRNzZ9rcrcY/
uTct45fZIPW4rQK2cb17xJi5Sg75V5Fiv9RhiU1om7dmcbIrc71ubRC5m2SSzZVeOdUzZWdxbqYv
zObQA0imyA3LWz7+ER1MY2bXXr404yZEDruwBk3qHX7V8VB1a/8Rf8iIT6OznwdvFKMi5CZ4IkY+
96hy1Rgr9QoDlGTG53LSzGXfXgZdtJETEqgkRm9Qt9NwnhNVlUqzexwis4JuA/briN0clbI7jEYQ
VcNyYCpffKyETaABEk9AF67m+C0TduRrWVYj4lnkrcC/cm6Kxg2KdmGoH9aYY8QEVDq2Owd2ov4Y
GhU1ZlvBuo7W6Ar4f637EduTXdOwHEQp6e0weiI+6ivjGLoTHTca7vRDHcXStwYLhaOmoKq1h4em
nhLjq2et4S5BCN3TzrVy9TH0N69gcBO2i4b3GDs2m8lmqaKOFXDiBXbnhie9zFNvPxTSetWs2EBM
1WTe3TjOyXQz4j1HYGHM2hveF5CZLZ1Su61YQN6Utuftp0ZSuaPlnPdxLAO52uWNTcvNC+QKNhYm
tXc/aFp/zlFDnsrKdpUmOutO66z6VGdiY25qnsMS1ZzHCqOKaHGd0oF8NvQ1eRYthR+YkU6GBBAs
Ybfr1mHd6qkxHBmS62fDU5zEBKQHl4GxMSqrI1+iRB6m4b1TWJSXmF48GO0q3eZ5be50ngdh12Le
hD1aySTkY1HM86HUabVZ7LKvQarQVbWzTwZpIs0r3bPVhfmNY1s5w4xaakeGFOstc+xn2aRX9trg
ei4t54ySHghZXxiBnoQpf9UV7KaVzPswK6AIGt4dZBbk56Nr3pT1EB+qJoluGdVYKCrjFxOT7z7u
rPum0TOgwuyRbHuNGR2Xb6zTaNXjDLzg1B/CSq8/5dG0sgEd0O2BGP4cu3j69JSF69KfluFxSDvn
ManDE65A56huO4jycwaHwYNYnIdFvOlHy3hoNE88DcMqHvD5jXvPtJ2HEl3dHZEA3hWdPiPtjJyK
K7a38YuF5zoDGDC6B2fu7evZyODKLOlXWOyi902ZPLVeZ97Nq25tHSsVDFlCaztPuKBbCTPNzbG4
FN0CrtVBRmlNo31teo3hswRrAtsprs3IzqlWq5oJu6WTNhCbd+aULQehl1gjN3FU1Pi4RzvfFKMn
IDYzUEIBmnzVCq/cRcyaH61+MV/hv8ova2h5TwSvLMAtFwut7vIWFf1xsOrAdWq92kirm29YOeaI
YcfG/ai17rSPOj4WY7GOaB2sIIq7Q2J0b6gnkBHMn2XVBdIDSaX3kfHWQfTY8V3zGdY/9xpj5Sl8
F5hR2SOugR3iiNu4Q+rudNjJ/jKIuxZV9maR1esgE8k/UF8E+YTSUDhttx3bFS2UUX4zAGMFiAuq
bZxq45FN+Qkf2XmEyHeF9sb1B8tUznYYCn11msmQDOCF3tFYnawk/loXtrmFs2+D00fgWExddge/
usT51d90GZqamLH/oU3c86iNZYCW9HHpw2MNmVrv8pd8ocr1ijMlQHPVeUCqdKOlYKrajyQK1H4U
uWJT1cbOzpZAT9edni/3jIfEpmmXnbGC/tfLchvH7rcsd+WDEvP6srFPoZF/mpZmIzqLdcDaY63T
nI6OYjaQcno7esMnWT7LuX/MvM7eeia0v652H4e+eBvyaWdbzQqhYb3Dt7Wb7eQEENIfsug5tUdY
UiFfdRiQNkqJ0WPnaSd7GP/RB7OwN5i15LsmQ54VCSw+ezjPWW3dGFPKliAa5ZvmYOeap/htJNnE
3nTVXDGUdOfsHMspAny09EE2G9oeoVZ4SCiUrqOMYnpLugwiZdfaMelMPmFE7rcNxN0tuM88CCfP
2tV2iNgsBIKaarF7A/Si3DDDhL8WGWsw2yb7ktqm2h6iDEF7PtDehTZJN5UMZheYrZ2uj0UIQqAY
9W2xtP1NmBuLL6w2aFbvYBYaJG7w5X6Uh3HQ4pXcG52AdliMp7JdmNmV07Kn2CVLqO3NB6GV4FB7
24SJMmQejIYs9ddm0j8tyTI9RINrd5tJ6qG27WgrBBPNUYe76yUS52DobavLYifqw+GjFtL3RJ2j
vUFqRABOrXebWoOvJWwzBhZDJzY3yX4hTWj//7/8U+uAS07y74u/Lbd/918PyfhnvvGfw5Ofj/9e
AuIrkYpSBL/IMu2/QI/kH6jJlIvYUvtZcv1YJvywqWAX9phoICMlUVNghPuzAkST6uIAYdoBIQD/
i+P+kwoQjMuvkxPBhNRQK2h8NLruUrr+tQLUJ1DsVkgOUwlXzk8bfKlDZc8wYf5X4QWg5FcdGa5c
Z+6R/214AXkN4FGdpD38XwUYcMo3oHD7AdfL72IMRDvA8okSmYR715imO49lTuTbXdfUPkAniRW3
Mdz4ziqasiYehy3/bb2mbb0HY+Qsm75IAZuTYhS/UOx2jc8xi/rSntxhCjxRevbJm3Sz2FMIrgWL
TwQG6mI1DGzVGokzkXo9kMVdvHUaAH6sLrPe2q5RjPDTlbH+WZiDexyBeEcbSxpzyFZhRe1DOF74
TnHbw+f2hHYFiRoI7di0abpveIoHw167+xR6LQWElrEr7efMBBtM9NQmjKISMJ4Vvk+NJcmtYnaR
+PUYiWqbyJxlikTOhrgvqwGQp87k2PuRBTdeccTzL31JZBQjW6IUsKaMDXFfWoSC0ZuwSpoiXZvd
FOPqxfk7t0y2uARAZyGEeHbcAmx8LwYdmwvWnmu5kD2wqdcVR0PF+I4KK2Yz7Y+F6Tw1Ym3andnk
DClyq2Trj9g0bPeCOLJrU4Z9eiidISFm6sKAaC48iAFO9J2sTSgR+McLb7teCBJmNVFPgCgeKckU
YwIRHLwJu+oRBrSYtcVev3ApbI+3POgv0IoUDMRAvVmlLuulokbX2tEY4IV0WsDsaWqeRz1KIfVe
UkKiJJyczVC3zev//0P2P1thjqPfH7NBlvT/gxWQx34/YumKaaMNxDb02UgAYSj8ZTotXGUMFhbo
OV3nJz/OWPcPbEwmtFroJhymuAF/TqeZdmOKVRJ+YdvshDl+/8F02lDD8b8qcDj7kfngaQYbgSHA
/lWp37EJLqzB2/LxWM5hRhoLhRs5D0YvyiBEVETh55nQBKimIK5IZ9iR/dId40ifXpO+EDeizI17
HMfmZzcav06pxvgvNBd9k/dh/W1hCrWrjLQB00lPAk/zmaqtBY3UWdceY1NiOIyvi6nfjwYbRaT3
wydnsI1grJrlFQ8z2QO9575lQzg75DzZ9X081nDo4pV5LVTlq0hmeqA7C+pobPGxP5nTuHdj+sQQ
H9xrSZ4ZG0IIcdFWeEUJxo0tmVnoK6zqMFhj0PGynm6JWvBYnLbZteOO106xvo+d8Y5dEbRRP1sH
omSao14j3eY7TxWKtj+ohT5tGXY1mGmb/CXNyKxanES7Wr0KT1JWrmygk0yBnDRQaIujHW1jfIdO
Me/6niUZnUjtXPeyhwcxhoJNMUDvk9BY+tlR86lLEiiVnlc/t+1V6sUPYTFYxxDG0kcnd7q3cnbl
jVUXSDo5MaDgdfLejbX+uRgcdON9OT3NJoI8qvgsu55rjYy0JoImPnU5wRmmXp6BbybHMWnHj0ZP
IZ0mmRVkg4O+fLCK9op1Vn9tRHVrA3XqjaA0ch0woKL5d8A2RG6eBErivT7Ub/whD6VrO1Djm2VQ
9UtxU3Vt9zEkEw7QPhkRHYPv00w9Pldul23wI+XFrtbQW48Iv9i4abzbUW2SyWHI6yqvQC/EsTeS
szKm4ploPibfeDGhfrBiR+AezVdx7hr3eUw1gh8xhfXTxoafk/z2ksWwXsu1WpmxuhW9JRT+MMPk
RBQGKXWZVsjbNLNexdqnnN6RHSxaIm8cHBu4MtrkuZBpeZ4Lbb2b03YbRTW9I9Pe4jSvZuQ3OO5Q
Cli3Nafqp3/NuakkLL8/N/+e1/xnZfrj0FUP/n5w4mPCwMSgUTrAozxLcqR+X+t5nI42RiYczMBq
dFtncvjj4CRgl1YJmQsBYLbNFpoz9cdaT6kalZbRAV9tWSz2/hHMRigR5N8OToicVLs0lWzpeR11
rv+1OO2ogWtO8R2qYnhxiUn0xSUlSTQIN9hkdz6qBHR532OSJmvsv8111xAM1Bv7sVmLhxYp8ynP
DCtIKgdPLeC/9lRq6jmL1flogjyJUhJES+20CIeWO7pbYRRv+erXXwbgXPcpSngCI16XFv7xFO8t
A4SbRMSe+aQM51daSs1S1rrjG5RoD6k3jH7tmXgjGZ08mW1h7YsIMs06hv05prh5SHKX/CS8gdW2
iFr9c4/3N5Et6aLQ5xgLGMM1ZlWDTUlcGpAPlT9kY0TW+KjVcXY98C1/rAqtuFlVSpPsWotfEAgv
fpw803R2KHWNA8YlqwyjibHRuyZ9HeqKDR7riQq8n0eAk+uRFNh7Q3+2u6l5tL3e2aom5RCP2hL7
iduznMjX/mCLLH/Kh7XcmWglrcL14xRmTdI3RrtNbdT7qJ4zeBF6017T1wK7ipf6jFGxuvJgad+N
CiC31p7wvVzoJ5Te3QaZHaS5UkHnNIWfsxSIrl68MNAUnA5FHTIHCbDObBykLdT+cOzAIdr+QCwb
QaXfSXcKejcr/N2EmfqNHDK445zcix9XWNkCy6kUdUtB9HKheHrmha03aBh5mR46fbqbFH7PcYb6
ivM6Deq0mw+5zUIUWpiz7xW1z9Zyuac+zJ/bC9CvVGw/WeCLsElHmq4jOzG+CQaE/qB4gHHX11/a
rCeDZZODB/GCmmAb/a41iFhinasVre/kSKuQ1jvgBssm4oC22ECTtnRBEhYuliIwizGDZTOR9tOI
fe0I1XXU9sbQgzVseoU4bBTtkO084EP3AkHMUGjCxhCE/Aa5BSeRqwZkYrTofOrp+Idvo2IqIgb7
pl8wi+kFuUgsR3I/Sl1m57Iryy/rnBsfZpP5dTChkPdO0rTjRw/wIZEN7QBd9UIH0BUogJ269gmU
HH0US0mg7CVs7aBiUd/hFTHSIuAShjvALU5x3ZRyUAKtpnsfncW4H8RSfOF6NM4y0Yq7Ad/7GzaB
FWDTABg/svriemjBALnlcDsmUn7gtiAFKjTnjGAffCa3TPPcws+seHk26LG+5eNo1Ttp6dk5kVgh
/LruquRWIvF9b2Al1aeGhJr7NK6NDvbJGsszs+4C445EDwZXIJv6nNC0OeZNGVfpEqcKcn5XAogk
f0ev0/muS+P2NOa45PwQQfMbnuv4yfDGqd9l3mIzLM/xb22yfsXyQBqZbLb2TGnAnEVarNlagTRK
ejmuBnhY1W3kLgNo/Zp4nK6kwatKrRHfihbHzROjXdQ/4QQSya/IBYryjWvVeXnIyXILUBWSPkXe
Mo4CNawcdpamg5+SdpyEx5KGD4tLXeKaxgnNvlY03ifGcmH7lMfWWvq1brcf+ibJHmajzOsrt+jb
ZutoIv5io3/oti07eSBZWemFe1mPFQ0lE/C924lxt3YgTkaRf6nSKD0Tp6i/iti9x9JHK5RhdJN1
9drn45VYtevIwp4QWSSu0o5dm1lDj2mQphzg5Pf8ddS9vcfoPkTH1Gg3lowZtwK93E1knvij19gh
m4t8mvmOiPDRa2EfeFq27u2lzB/k2OF4QDkK0ZStFYMulR1oUqydIgErR7D0KI9t2rXlPs/7MlCy
hX2aGgBm6rW9HqlWznmlItj+kilYdEyJB4rZ0bvKKhUc0WFU5QOCMbweU+12GvLiuEZM7bYFX/v8
+pIwGLUCybuTJdG3nO+2u9GbzP7YudM3IFQOJJ/J8ngnemxgeFkPaW/1V5fQwZl03juqqOVlDlv9
nNfegFar+iV9kHe54D4IJ8ymXOE5YhFzPlQm2ylwpTUZOiG2o+04NTgtlz7PI3/QE/kQWW26rSMK
Pt+VLQJFGNbG7ZB0xuRLrpgXgSv4c9MPzd6RAzyhf021ZbEW/X21FZRDNPxeusxjvxdbpKMwy1Mg
c4s9MPtdqp3vxZbzB3JhhyoM4Q0VDxmZP4stSVw9ZlJEJQibERarCu1HsWX/4am5IeodyjHBSvOf
aZfVi/yt2OIX4/lwtbsOWi61Wv5bscWKp4dyTHgPoQ07nIzswZTajw0YmYNKAYjyh5XiqHSBlVII
TgyRDq6RjFca2aXBPJrzdSlI9t5kc68ihBHVXNGwAw20GKDIFCVidxElrkqfOBoq00BkIvxg6Dbe
tEZDypgoVaN5ETjiMEXsSDhDf/YuEshWqSE1KlISvYmgr5RWEr8HskkccZ/6nB607FUgapxGHQKr
ygOr18GZfqDIzDd4duE7zNLZjuqQGxCdgAQcE4JfyH8/LqH1tSKl4jT2RvIwoH/cN3kZnioAggQm
EvZUwKzxDSyYj9FC5y6yQv8S5WI6Aj+e7kmFSbRNWkTho5YWhiSn2pPP7uS4T7XI9KNLbsvX2Anr
PZmbmzqx281aNNDD+5assMhAJ7OJ2DvvtUIs781quE+TkMXOA9VzkEmCLmgKl2PnucnrlGnimtwZ
+YKdsbodpD4s3AKpe+2GbrFzmlbsEgGatSFBc1ux4SU1eTWeESPZ51EoxIlMqr1BRxs0udXccRcR
w9x43SnR62pfmFI7hNEUqwBIPdlMhR0fSrYavkvs365sUMsZmZkGhWt2hxBmrW/AhcGIVzdbqZMv
prErfwDP5fhlOzv+kPCEI/7fWyYu3YGsKe246t5wLUaj9xfQ8i8L6OovldGKPZs7ayeyxP5kKEZh
omiFDQ6Ul0wf7ZO0YRkWcHQIf1CAw1GxDiempJuiq9qrWG9sVL/EfE0Ts4d88fLXOk/NY4Iyf0s9
aO+GCliiQ51wpc2tvVsvuEWPAI3NMsJgdLGgb4TXQdBMbfK0GIkXitmY0oM+xuQtOtjY4TrKC+Jx
veAepSI/GjZImkbRILu+sV5NRYhkdmscOkWNJIAXY3SaVDEkNaiSo+JL1oo02Xt6s+0u9EnFoeRG
7a5WGzblrCiVneJVZopc6V4glvoMzxJHmvMkFONSIzLgqwKRv68qNAVL+719yVFZVaSKYTpZIEud
msVJ6m0s4S4ubczCGi4oyVkqmoVAG+2+VKpdS+l33YuUF3C/E7hK3/vvuQb+R6bIvio+f/39NcBj
f/bcrg15TEc1KxH4KCrt92sAUSwdOHJCU3IQq0Tun9cAjTo/sMhQx6MC8INL5cct4P3BUf13c8s/
mFUyEv3lFkAFpKM7IosDaZCBRvfvt0BauGPWoq+WqZBB3DcwrPoZJYgxo20dMWxt5sIuNxxAut+J
4d0gc9gvTVnehEYhjnIR1m6UI1WqGS7tHvKA/aGORX+Dk6U4Cov/RDIy7jMD9sIYpj3zcqMfgW70
2bk3+TMtJXTD5THWL6tpC+x1hgLRG1p/kyq0vHmhzCO40XG3wRPoCnvYrx6P7GobXzAutnYrLLsM
+rHWMQR6zWfMyAMbkxxwRjZVd0UiP+cxZIIhxy7dMGwbD7Gyyi7KNJuX3ezTo/CF9vgltXXEl6/M
tVRNcpNNabm1F+1TpxUuiRMDiQAcQIRHRMxTySMCkgoYSLX/QZyW4AnrWfft0juNlvfujkNJDOJE
r618vbk9PYXW+rjYxZURInsto3QC7qQtAb6UxB9yt96u1tScUbu+oDTTeel43mhtovvTCD6/GOKe
4BEYKHjnUAuJaTkUYkwPmgkRo1hJ3YXMgdAgCrkXo0XDSG3RdFrp3TJZGnLi9JRq2e1K5p4V9ycX
CaMP2Y2/PGwkWouKnFN+1eylIlLjU6K7Ec5xAzWSV3fxjY5ZlLAhjzA128Ndj/Fp8IelqHNcM/Hq
VzM3/2q2ZaAJFFUhkLCvedh1Z7rxDNEkd/dgD8sXE2tOgHe0YW2vC9BfA6exwG5+B5n1C71quOnS
XiAvmuGQd0Z37OCvBknHPBX9mXeMiNTed9FqM4duWRhtlos+Mu1S34pBWjFtyRpGSCI+a5aWk+VE
Usp9lOq8U6WwVXf7oOFkfBJGm5zINjGeZwHKxIeFRXbyMnFBLUV4U3Zkb23alApgr5mDea9FC/aa
HHHdNbSd6CyBHs95cRf1ecFlWuZX0kInMvV4xjHoRIQwOAzvx7Hf5+lITleCTnwzmK52WNMVk6IG
DOIjlv6BiO5RZs8rYZ47F6069JESWJXZRO2xz0OQtPzjb5u8w+S4usONPkws9ird2NfOUqOXqxCr
Wk5Mhm+LaHxrdDymn4bhAHi+vjJpxR8qtLgnZwGJUHoYn/Iy5gtH1PF0zf4qvGKg4N2Ey9wek3xZ
9kPCGsDOcbAQDjNvbYB66FosuXMJesMpY74zFlTpGLXRBjU7G7rOgVnwsiKLx6uF6CG+wPvmsJo+
wUwZ3ktPsATIAL+HJDZfTWnS7YSV0mG5xGzfURiz70uqsnxKSgR3m/CCBkTV4N46TM8/qUn1MRPk
NBBwaaCoSTzdDOY8YmgQrhAAcod6oKxEcwwJmSA7Kx+DMS4Ze62e6+eDFt324YyjTpTmqe1iy3ds
qc2bIV3KJz1ts6OJvabdWPNCUI8V5lCURDHie4FRs03BfCB1iV/ABneUihiFVGJa+zxk9vwZsGoN
m4YcTL93dNa61CagE4WiKOory02AXnPV+PUFsYiDiYZNzVe6oa6vyrJOzo6avIi+aB5gtU4JR7Bn
vWVopGNmDPbNoiY1lkMucl7a80PjmksJgESQy/GvubZVztPvu7dj8Xsdr3rkf3o3OiwTUYZOrMsP
tPt/ejdaMN1ls8jhC33Q4DE/BuU0aEh10WoI2jRp2X/xv9h/GFhSqQGEJNmSttD8RxtGbKq/9m5M
6CW/GtWzMLxfo6uGWXcSgDBbeLTmtmwJCUGlCo4lHt0NczwBWjSqry1g6YdKHwmzzMaWpDjdjF9F
WNtKtg9ftwzNx0jq/Y4oR1ii2dnsJlq0ytPzY+gljT9aYDlHzSIwOU6yE3fZcMdfr+Q2Hz6NaVm+
6hwHJ5A9ZNyZpN0pY/4hNUVDs+R8JBAe4adKxytItvug4aXwqTWMs6NS9LjL2507iRdjEDBDYkTC
tE1gSFQGH6wmTPI6cGJdpfPB9nE/tlZsnwfRe9erSvETKs+vJdjPKuik4jaOTqVK/UOWS7GNPEED
8UUqYB+TD+i4rAlcnB4BuwCwL61AYOzW8ghknmHkRPKFqwD1jkLVR4P9rVHw+qhQHHtLi6sdvEpC
MCJ3vbG6Kt5LV5HX7AZL0Maw9O5cl4LjYUEUeYrMhOFoUz+jAEgRek1kGFYOxCI4TDjOL7z9pnae
UjgACKnTe11B+Zmka4QoAurH5uk9J6xxd2sZ1l/xenLHgpKez6a3R8HxNusjbEQbnOZCiSTSXY5J
5NZrWvlmk3t8qicIWYnNdb1ADPDTiZZrLOaQq8izrvKKfXEB5PgK9hrhW27ifXCaBrlpX35kgJjD
YGbXQuuuk1yFZ3BmzJSWDO+t4gvxGHRI/HfQ2ct6Eo7b3+dmNHzRF1nuLBCruzUjXSiUJWXWTPxY
Md0sWH13k01p43XpBzrIYa974fK1N0umV03sbbs2udFBMWxmlwTpqbnKVnDTJqK8tNC6oLXH+FTK
iMFE3KO9y+xdaoLrQb88/Xti+1T+7e8PvttuKH/brqiHfj/58ClQVnKIMRTSMesZPx0MFj+hV/mT
jsho6qe2QnUPjLr+I67gQT9XhMRgYLVnogPfRPnx/8nJhxTu7yefQAWHrR9yFqMzMFTeL1Mrtvx5
KLoWa/Hs3PcwnNCYp26gySEk02UNgyjv0FQPUm5iUaw7Nh7mFV510paytNzYs3lT6/QbechIqOES
vxezJACjl0fE79taerv63dBoefCgmcUGw3D0afQmJMNxVIF5nc1Hq9DfisZmdxfCLDFEA9spJ4As
zqzrPOMwYtVh+BaWHR9qCvuzRpAzRyz9QTf67KYkpHs7CHgnOJYBqabL+oD4zr4TQ1/fltawawzt
a0EtwWiqnPf6HNcv5HiAM08t/OI9pOOtLqMnF9aUScbuMSzT8LZNcSciqVdTpR4z82p4QVnFAYkT
IZE95BVWq9YdzNxITq1a8s9q3a8ozGKTKRFAouQAyUUZUF9UAnjTcKEr6YChRASI7JdDo4QFllMX
xc5oevTnnle9IWHTTg7oxg2KEtevWrv7CPiuuGH3V5LvOw3srhAyrCga0o483lWIEyG/i1pkInsI
O30vqhVWSl51th+N9XA91FN7lTHuY+KDzzFg6WZs2sQeP+qNkRzBC+onyEnm0ZTrG0xr+HVh2E5n
T73NmYE4PZd585RM1nUdF/fhNGnEslZA9tMMvZ0YeZ1WzeB4h7825uj5XjVjvWcs+2EoOhxhtQkm
L1yhuYXwCmRLrE882fqZeUx+5VjLeKizOAJasw4fIGzaPmowfQ/o90kmE81h5z5FcioOUdY9lLQH
25VF8C2v3GyXYo3YZU/GNg69dNe0Wn7TeRm8lkhr36wIVRzK7Q3LmDc0c8Ye11dyXTtT+IJETtzn
cwQowNLIH65LgqtrwD6wNi3EHsJVami5WwcLxbo7t4TjAX1jugieW0s/DTMIrzbU6veoidnuLI5w
tkbNh3FK0+asTU74mqIy75khfZNN15yypja25MhpR23wlrsRxcZhqeZuS1/APogvaR+Eeq4/XsQt
8EaXG3TW1XlFJnNrobv2ERfQPhaeRf2LuXRDycGCrMaUk8cRjazTaCcKgfyRgfX85LRh61eTxTg2
zu2v0O7yh7Sb7pMpnu/gYEjQeLW1qeboUWryA2sOcRNNy/BAJ+s89MBdAfkU46bzKi67sEXW78jJ
u8aBOPk9Sl+WcIOEeJFX+9FEvY3RCLuKDcFoSdaP1Zyse1AuE5oAYJpaVGjPemlYd9lC70gGSLtt
HVP4LQRAcB3ta4rsZq/z3dhE+ZAdVzZVO0A575k77MTIU3syfFtCJb23ydeL2c2hJaflTRygGBle
ECqWeKvBsXySS176qqXbegZIUFaB5aHi0+TH7ZIEDApJXFEU8WyBLk1+VnKcyxKcz9x2fsJOdrPG
+FQXxD1+Nkfv1iS/1Iutk53SZ8fSXNEw5MzD8aBd4aoAQ41lp5wBl4EQw9SMDgB6+DcauRtGlCNi
KzOa99FkjNsKxxt4TA28HLQKFuj2TlbW8B7abnhnZI2ygOmlr4vpvIJSqKERUW+JaAfuqNh6YCoA
oHN4lQV7WiCaUI3LEfL5GHaHtFpMf1pLZuNQUTWSKAvtemo8I3CW9q7K2w+DajftvEYtwYN6Lz9P
9bKcoP4+e1FtBBqHj18kpIL/e9ogpom/rwZOSfRp+vTbekCNIn+ML/U/UN3oJM/hUURs6TGK/N4J
IajkLsaHTxNEzgAzzp/1ACQA7mn4AZLpBwNOlx/9qAcYerJ3orZAa2RZ9DD/rBygTvnrEgsQAFg1
vm5gTDGW8xn8ZXxZqYttSo/NWLKmwNi89Qh29w0ubFwgCqTuXKDqoeKrmyScgzbMvPGdOZlW+WEK
i51zqn3Qu8nBeQJfpTKwaJUO3y/hiPAIs8R8TvvJuxn0Dt2irYjv2WqsVOTRDUxGSu2pVVh4Vxbl
HTZJYPHAUQDHxzYegWBRPPncgZ/Cqa8w82yTix0kAmhmMFL0t1Boz+2FS9+2ClGvYPVywk6egX+E
zCP67gwOZj0KBbiXYNfJJNBbRkm1QuBDQBgfhmxiTlddGPnGkKRIIhU5XyuNKglkRNMQrAquP8wF
XB9X1O776DGBcquifvhv8s5kOW4k3dKv0tZ7qAE4Bkdbdy9iDgYZnElJGxhJkZjnGU/fn0PKTGXe
yrTW3d2uVVWZkiUmGYD/fv5zvhMtRH6cQwEkTDD9iVHVlCz0Ymx2YztK636K84Kc0JCfejDA5k4o
6L85FjoD1dIFQMd40DFrjXQEYCJLJ6LTI1Xlndbor747Pbn53LOCyPun2o0ENTNL2UCVCn8AmSDS
zcTyM1qXlgGlS6tpKfBb0EGQMqWscAuUvFkxC0T2VdkL68aGPrqVRTCuvbhMHzPuqTe+N2Tt1vJi
4zOiNu3yIwbaTSYZFiGqYEHi/X8RF7X55hSR9azpGVo09Wn4mUQQodYFMJReBM60w1gEA00FiC/X
nZXUN9J2IM/YXnbn0rxznQeafHMGYT2WlkvZctNZp84VXbaZI7t7CqKY23UFeOkSa4b1YNvsOFe1
STOH0wzmReYNzj02rgLPKLK2jXVgyt8MElMXmt0WLul/nrvtiHXcXeVhW2BpErW1twqD2EGb2eLo
cDl7sOIKD3FnGPclWFAKfOupkpBW084374KwbqdL3WqC08DxUmzaPk+eTKeujXXqtm60pnmZb17P
pCL9d7l2lydd+FHQSRpv6oaZgep5jBsQLDeWmXnvyejml62fmi8dPzuxpp6kGjZmIoBeyJEwbY+d
562Eb3GmT7qDX8eiE4U7He141QaYxYD5MaXhBx63epn6WxezV7JP8rR45jNL5VpszpddRxS5IRCN
1zgdc3BW5XzThVU6g8hjVl6VYg6+TJ1WPBJnap54D9VsdJmgdlPQJIfA6PpTVmXhdhx8OzzajoEV
G6cPaKum9GO634rp8zT48pEwh3jkc2pZ+zGWpY+7tzUffd8h1xsD3aYymv3hbZcH3DctUrgik/Y3
20u8vR0042Ocy+TZGYz4MTTTuIVc3TYvHhfmdhXFTncNYtk+tK6V3WpG7+zc2rGugzKipmUKrYu6
oI24TwL/gPyf3fRgDq7HIo2vh6DLj0mMjko+o/wYTV/fJNDv1jaNwl/c2OqfO4ocdrUB2mTVl4N/
i/o4TJukhyt76qLp69wq6VVQ6cYFPmLESfSOQukwNi5HxvxqZTGmPpdxa7/lLIp3HTVQvCGq8ZIl
AFuArMvwlIdVjD0nyE0WoHNgfxtHi00kgLxkBZcnP9QAiMkchrpzmwYxZEKfn/2aLejgrUpfWrc0
KCTtzhhk+Y5hyfnwoAm/zMmUbnRaMW6psDHPYO0Z1jRnGqK1azjdjaHKRNBziuFi7uDm6ow0+yKP
xnMSAGVVDVUJjpWohIVOyPBKNhMUMsHgvOfBblhgdTPz8AAcdxt25Og2oQjag+ZX3skGDjavnAwu
Sds35r6xI5uf28wcfwObg9aKFMjHHVWAwLInuHQ3IT4qAFWlDAi6qN6LXFVgGEsbxrQ0Y8gc0XdT
RxbPUV42oiZZSZGGMalODQpT03uN1qotBRX1TVpZ0e249HGMotPE1lt6OgpV2dG2NpuXpcejXTo9
Rs8dnaOrqj5CVfrBBdRLVv82A47JqvLvB5wvxes7M0zeRu30E6pBfdGPwYZqKLzQYBfAtVq69ZMV
mmW6xLjjwmnAbcNI8UPmYKwRkonDQ9ol4Wfof6xlGWsWgcOTkByWOelX5hrWmn+da2ymGsUptNTm
GKvOn+eaIeat3KYSHj8foFVX9+lrEUc2CIY03SSBzT5HKkqxH9gFodVRwYvdUQNkTLdRsW5dcKRe
QI46SoAdK1dnvU8UfGs147x9rVj0AwXgsCpd8ZWARHNDNh7fB4IyWghZmUOn8Mq527TXIHhgLgsz
9Nn8KhQzc0fw4scVvoxQNwEmd4YFt7lNdfGl9U2bhoOF7GwvlOdmIT5PCv6MJxkOdAuT1Dhz/Gj6
qpy05ugMOG3Ak/gheTOCWEw65LjOpDdgTNstuOlcgac9haCGliEoVFJcan3y2uGQLrzqcWFXg4Wq
aaxzNJjWTtGlEGOq7tYirffNWOjX5kLCDhcqdtuHGRV5gMgzRiRrKh6SRM6kM3xJgxRg7UgHroSJ
FitTSSk45wYE7nHW5n015DJ66rUx9Y6OwnXzV5ivTTcNVJVTl0zlxsL2nhfOd74wv9FE3FPV2Pxi
AivOE9QYAOGOQoUPYdfa22S250dM7HAA0au4O04c5lHeOHuTV/K2aQLg0KzOsVu3EoJ2iWkbSOTX
uqIDwkqQW2mrumUDGR3NvrcPPYbOK1qB8gsUiuliKE3K21vaoFY4DJOHdM6nlVeojmPplMfUH71V
FSGKkR2nczmuP/Ssi0+OR60Ive1GchWI2UjXvukG1GZ6nm8ctEAOylrCFtg9cVEY69u+xBD8YvL2
nmFmmwEW/nlGuy5XYHegC67ShP3915FBqCQfyWb+vh+x/WPbnUtJH6oTUCyYmeXW5INDDhAZW39o
1NAjlvknUqNQTBgoWnncX10amX3P2s44dV3kL4YoJw2LN3gYTFZ9yO1whQDl3Dtk8C8aNYSlAZ8F
GuAZzWo1pA2TYF7DrN0/IQf02QZCi3Uq1GhnqyEPSj3jnhr8smhiBFTDoE952A0Hl3c9LLOiCjRA
0e/HF3OZJcPJZK6MMXlHDJ6Mm5EaPOn7GC5cNYxm+VivHRat5SZVw6pQY6u3TLCpGmbHViaPrhpw
U3AKUEIb66ZIcnYOtS+mZD+ofi94Pu7ZXEq/OqEKwKhaGjblpGrBdNUQ1ixlYVEUd5SVUCE21nSJ
pd9rxUwaxoLCw6Kw1I4xIRCXILMAIlL1kvHrHXe0R1FWNuO1D9DFAt1c4yzD5ZpbIie0Q8sZS80K
qqfltgXUYSs+O3UbE8BX7WhzoorSjDpwbsRYPIA+dLCpq515aU72lb8s0oFmmLfVsl63hqYwNphl
zafAiaYZ6Axb+Y76ggjj6zg8pgmFKrvUi/QZfiObfoXxrPaMVBEUNGUSQILum3VFNxx0TvJQG6En
fbOylPmgBz/RrOnyanAbBPpTpvwKv36aXkVvaEjFR/u//sfb+D/finKqI/K5i0nnj/91Xb7n9239
/t5evZR//Sf/9IXN/1n+OHgvNi/ty5/+x3Y53W6793q6e2+69Ptf8uOf/H/9wx9n5MNUvv/v//7y
LYvyTdS0dfTW/qvj8x9FhZv0pX1/+XtvrOpG+kNVEIQ4kQLwulrELv9QFWwbkJyHym8TU7Idztjf
jl+d41ed2CwlJDwvVSL7Q1WQn4TDcU2eXfHXWZL/yulruGqJ8BNCHcGCnJPaMQhPLWz/A14QW7Xb
ZNrOHckj78yO5iQM7kHIbZwXLdEB26vcU28bNpEChybl2yiPmvIiR6/65lErFl07bSiQ/0k0YvzP
uc1Vuk2ldS2rD33qpkcX9162wYM0XXc6HLeVXIIO9VzI525JPxCDCFUewlfJCH8JSfQqL6HFVX7T
qgxFZoX5W9z4xm2pEhb1ErbIlwpIlmnUQQ5ELdeEoSiJpCqSij4dBxbVkkuRZJXUlEqKpWCycrnL
realeNK0IRBBZQ9q+6LsM97Vkmd8g1GzZ/mp2isBVljiYKOM3IVLu+XYWo+Wn+WfpUGvNzQp1Uxm
Ly1lka4ayyJVXtbC27solkYze/JpN4s1l6azAvwopPelAU0sbWitKGR09kOXjSoGB1GQIVTtaSE9
avbSqOYu7Wp+YrXWyuZa1Z2QS2dgG6FqY5tYKUYPmSppAytfYWujuK2RZQOj3hqoc/MNYqlLx1uA
El5tqqX7jSDBRwEnKVnV5IiAzpZSHhAz4mTjpw2FscwKNlGevN2LrCoJ8JvdlJ8rqZWQ2bPMu+W1
F97PSeY++sasfXWrkMKNPMYOlHoZPRHTbCegg3DfA3M26+6AMwxAkymKa66ixrWGsNJuaNQNwtVg
d1m9jmxDXW4icmGDY1YXDcm1hEs7qChKdLz5Vvdlo52HmF2FAEJzmftu6Wwgpjs3hmOOqNhTI/ig
eUn9WrdGdoArR0XtVJP5uOxcx7+ilBs0kI+GwotS9rm1kaWlXXKv99zVwG4B6j7VnAHnWGpQMtwP
21SnGiPpoug6aBMBgJo8TL4aKc1kQ4tFmAyFF9Ai4nL7+pJMMt1avYAaj4Qbvg9pre9Y76n7vwPE
cK6t7iXo2GBVtRUc8tkPtklFhmntpln3BbsTxC9bZhSPm6kZ3flCus1R0+o2uawo6uJh9InW8ekk
u/Pr7/P/am9ql5eXpwqx//5udHr51uX/Qvz9/Uu/v6TlJ2rwbH7LusNvQpldfntJO5900vKqDg9B
mNsQUYTfX9KqKk8oIDokO7VD5jv58ZL2QODpuGc8g0g8K2b5S4V4QvyHVTBsbotCYInWTA/HUoTx
UzW3qTEPUrnNttQgxakH3ldDSoLYzShzH48njdfHGIvYOrGtTjuDdJ5vG03w5LTLUxRk1DtZ6tGK
l6dsXJ443kM8fYGlnkSFDbgG0FZek7JqMJzxyM5kJMkWzBUAsmx5qovc5QnH79rea+qx19ULIFGv
AjsHtXpbsbTd6su7YvZAoK2juqM61JpC0g6YBR9bFBVAtEXiHYRB5hMQ6axY8HI+8j4jDKCKKi13
orOSIUyEO4eiy4H7kOFAtqoH93NMPQ8mXU2vx00MIp1a00IY2HGM+tLMjPRpLCuW18hLWaOkEnEe
7Ak8h+v3sMH0ZhLY861gPo80UG7LnNqGxE950+ulsYncojqRnjSehpJd0CoktbJqh0S6B9ft1HVi
cO+1lDX6epRJVJ7KCH79bGqs1UtTT7/0hZc8SKlXu0T30do9gnXl2AWbSB/0ft/rybRzRds9p3qZ
HLu4JNTIfp3eQV2rr2yrDa8zMUc3k4Muv5pKkuZbBtN0Xtc8DEeBGgndw/ae+agOH37fFc+R37Mg
ywprN4xieqogheirhsaOfke0n+wcx/gLl8M52ApemNDxo7Q6U8pKCVFGbx1doM7ZDlzW4i280V2h
afGVX83usXaN4c3PxXz0/Dh5IlwGdz01fPc6yaHr5rHZ+/vMpaNxo5mkYzbgWa2LyArc98YPnA97
1rx+U0AoR5jiFuVBpWnjN4igKHRkSoCb0LpCt1PJZgVXokeNCAlFT5XVbRytpLOPKcKj2rQv+QlG
nfnQ+31xE0s2i7s8MV0iMOnwxK9v1PetY1MjYOdl/RlYHQ5qNwXbnbVTs6KSZTQZ623nsVCi5Vrt
Ha013kia1PspjQ6GYrjlcQw/LDVj7asR6O4p6AAcN4DGjFXZgz3GQuEeIpZ3tLIARQZANd77CpSc
SG+8jzRwiKaX40hG1lQNxP00XqQLaTkFNXsTpJ7SKPlQp10FkjnT/Xidsx55SalJupgWenOalAMI
/CwxBfWoAJ47TwdRr40w7FfYWALQQ0MVPQl1Hgc574MNTU7u1egY1dOo9RZDkPdRAmR/sQiaZiuB
NS5ft1GE70tIhpPdaJj9ikN82E9R3EDJ8TX7c4bVothM2DefGru0nodGWndlGJY5d14u7mE75ddQ
aKhs8cbIfSeV3anbek5XnxMhtnjkgs99Vpn2fhon/jK9z+crzR7CFz229JukMVA0M51jTWP9fkxD
x7qshiZgCdL5bELt2HduCT511safSi/aSrrr11o0VzeR9Nqz3cbebUdn27wGHKcdY9ehSNmbqWSQ
85Rs2slL3l3y8wQ3wW7sUWVxGTS1y1KWooVm2vkeInnFsoVKbf7wrNPe+6CHdF6u4kSW2Sb15kCh
xxrMxp0zHMDtF8Z6MNFr6WAIb4K+sCjAtcZwDZ3iqzbj3Q6kjZM7pl00Hunb9msn6DdWI4IXPPUF
VXy5H9PYJ0drDbaaaDMXAgvUfzo9V7o2ytUwenhmdJmQ7uJdlj9CRWk7nOgteOfeyrLmwYgEtQll
lXwpGD82PoPOritzf+e080DvhGYhW/tdd10lEJYuvay2tC1ZAuNKp2AmXict7Ya7RtdrgfCPe/5Q
5+b0pYp8K1kVtO9dCrZnuOXnit+kSSmfOEHzjnvcg1MkoIcH9ruuYVom+p0e+VZ7FBRXJ1M6QBvf
4pjuFN26rvbtxIJ1Q16VW3KE1osXMghgXEFRRTOe0rbaSpzH3WEowGLvWMlQ5qET6SUwLE2SsUnW
9h90/gQUiWRpbOxDVlyQmjLHdvf/FjMPXDVucf8w8wwv9b8eeb5/5feRx/lk6hL2lLKZ4+BfIEHf
t93mJ+KLXFkll0IUCOzBf4w8+idAKMwnhgJywvL9+V5K7MehjMuS0kblxa72K2kdV8m+P11MmXf4
vhihFFqOuuG/koXGEj/nGHKD74r2q6yrls5rbXig9dB/5PMYX9h2W39mZ2h3R4e3F/GXmH3xCsd6
+ejqdXpfzKbz4WspWpsZVRC8CxSyW0rPKYobOY22ghvhW5hOlFh5ZFL6Hak7p9rogM+4izo9782E
VhBatXlCb/250G9MI5A1a0bOlpVLq+d8GmB31BBdqB3zyjS5ynURRysT1tYXrwuDt2lmhXhq+xhF
xiuV00MnbOrvBzNKtbUw/YZLh5znk84FKNiGaT5+jNZY3IlJRDj/1cqQ0SQXB1qP08cUPZYOGsTq
Ly55yEtDyyjF9eEt3kJuBZs06Nx5d4YlsDd3kd9G69bQxxf6D5jECG6P606yllz5ji+41xN5J4+j
KbuOU2f2MROJ2ZznvEcLlSWEkW4sLTpm3LzfJTltI/uKfcG8HsBagEjgk/S5k51drnXin3eha0Zn
l0bK1zafx+IyGAXRSTa2/RuRTqA3LPhEcASjKrgfz0kx3glb66J7jStYfplZKT1ubThlGHOl95Ql
bnaOm875nFMMs+Hgsi/bhBBEWvNrYTs1vAJ3xf2skT647AiK07gTzsMuDtLybg7jdj8rEoaFSStV
sDVQl1rU3SfBwLfZNTpMhFiOtyhp8c6As/pFpoV+bOAZXTbVEO8E7LhtmurxjuZ2/Ft+n0TnaE7j
z5Ys65Ne6tVrU1RogRkdOsPIjxOfdzgcw6EPVATCjo9zV4tx13PQUfaTY+Nb94Xoy11Lu8huqpLs
sbamDjFzrsIbvD5g6QpkYbXKT/FiNlFWcdJQC7B2+SkBdmbuGVd16Vavha5H4BtSPfqYAEkfZCVo
SU5CAzpLAevk3MIZCVewXBAWAEun1V6vXN/ZpEHrZtshEtFD38+ahoc9R93mD8P4yilVgiXhgN/6
LpGSMuKesDHyUbtrTDmCrGFx4rIK/NZmenaAy9Uda79ILr0R0hI+aeArfmftXM8XG/BO0QZrDRyT
WPZPfZWM15jxrb2bQegkxkpJMGvcL26PkTNm7DyOEDuxpFaErwSNc1d4S/jQDbD3h8ooALqG4nHO
dO99opR6Z5Lu2rPOT87VZPqbxsmbt8iO9YuynsKP3JHzxs81GwdnFl6JwfpcybZzUDlsn8PVpu7U
Fo7zeagD6qLK3vG9i2Z2KO8F1mK9l26dnGx6Cm4lGECBjFNQ+mmPWd5dzUk3z99s6ST+QzPygdwl
ZSS81UQrVLF1tYZlhYe1Q259afPfhVfSpIwbHpqe2fPWvQp8w/kchPnsXmv+NIvDUHfFi+NU1E8N
dZS+dV2ZnMoC3gf934FxSsUYJ9s+GzwAzyDCxHpwaVw84qBEsuMDU1vDeopjTZxowLPbuwTR4AL/
zLiKWEpFF4WbecGeUafLEU6UHROExzHvdFqM4lz7jGjhXFlZODzaWUhFA/UVOAHtQuMED/AdnUvT
SpEoeHSzjRlZ1jlsTRM7QILkjiMDz0M5DuWwCuhLDUEAu1O0SRU9DEyzDayXtfxbA13Y/0/I0f/V
5AvDQZbieEVR+IfD/CX/hxQPX/r9NPdQhdEIVIqHVT1ofSaE76e5+8lxCakrNgNmd7Q1Qrm/qcwm
hjcLZDokLGVgszmDfwgYaslr0bjuseKBnOCav0Zg+Csn8A/zGvFgVVnH3PAz7qrWsH/1ttgX8UwC
VfB9AgZU13lsDsXJd8aQHF6Ql5+dFBcCBDgfXIpbGS+hFlKubES6/tFK4oX7aW5OlZtiPOG9W51j
btPNAQq4h17XQpzmJZQ+j00/2sdoNtSkPtSPMz4L3p92Fj0HgRbF914DrXNN/7UzbTplj3CMQtun
DJkzfWK6d2rpJjm0oomwpip7xcxNnsJNsCvFxlIGDG/xYvAG8a/cxaFBCifZp4tvo9CBexvKzDEp
W0cajcOFuXg9tLHvbkhP9xGEduUGwRQhzg2Sxi3SQLoJuXu9BCUGkjBuqncQgGm7q5TBpEl11paa
sp1QAYoDJTU057ZZfCm4NfJDRXw2gZo4cTymo/VNVCMpxSBSzpZcmVw6JE/uFcr6wp2XU0bZYWB5
WG+2ssh4LZU4K9tsjMti8dDYyk7Dphtnja5MNj1um3Tx3fSLB8fVE/9WuD5VBt2MhEE3R//sKONO
qiw8BubzDff38iNVBp8iMfPjoEw/s17Laxn42Y2pLEEztudV1dHxU4U96DwNesF1YOIiomAtu0W+
sA8VnT/X/mI3YkWA8wiJv8XcEiWPUKBwJimPEjQJHOFWY38TCbVtvfIyWQCBSPH0bfBOs2bgbrox
MB9T/LU+4a9UWPtSOaNYT0o8Tu74uVW+qWaxUDGVYqfCPsWtMVcuq2BI+5PTJckB7FXaXXhupYfr
VFLwbtZDeGVXfnwoAweoQlcbxMnZQIgVdtLpuc0TuQ7lJG4TJ/NeE8Qca5eXufm1D/vkm9lF2is1
ye6HhBt0GJHktvZspYRje+O5TKRxPdgYqTKgvuehGYsvgz1SxT7MrBOwU121Y8yhQSaPH7wWCbml
a4BcLHSG4dnlR2at4GoZt8lcwfJ3ADF9pSbQXAVOUHeEffP8iTuCQz6N+1lY6oKImJO845Xqua7Z
8c3gOOB6aSN6cI1W3vWYfx5BKtTxRgtpg2UlfGKiLl+E2RbXkYZqi1+j7bOVRUSUggB0/2c8ZP62
126tcmrPE8rcSjpZcdGjil+H3igPJq6OY6VEpw4C3xFBPrlqlCTllTpgeydO3XMcJkDxQoF41fTV
eW59FC3sqnqAU9TKXwoleVESnaB+LUpYr0SxsA2ByCmhzKfB+1kq8QxkkvdsKkGtWqS1RWUbF8Wt
wmQN4UwJcUYah9emEudwT1q7dlHsEiXeOUrGiyuo8+Gi7RVK5hucJL2aOlneuEoE7JQcSDF19iVP
ezRCru/5/bAohzj+UBELLcYVICttFQLLcQ+BEhxRu9AemdGMp1AJkvhOKCrwvOBYKLlyUMKlVpnT
uWkjUzs6i7JJ1FpBiJXgafge2uew6KCGkkSjUZtm4ueopf//36B/O3Y5B//p2G2b6F8tDn766t9O
Xlb+mLKpycYwy7KAo+37yQvq3OYajU+Kd6hDxJYz+beTF3sV1nCHOzY0k+88jN9OXgOzuWT5y9Xb
ZTcMEONX7tHqsv7nezTDKosNsmx8F9Am1T37p9VB6eJscIhXNx4ULbJJ6KnO7CKtqqb3cpFbe6W8
kprE/Zcsgqw9S21DEowTD+BD/MbjrHmbwg2NZGMtom6t9F2nG9x3R2m+/iL/posUXJfB6O91uAY3
JXvF6zDmJbyi8CYBFc5TPqjn3VNPPg5Ba1XDC76OzLkD6MJLwl7eF9SL8e5wUv7NVnNjFde+ermY
eeCeYqxCDApYIjr1EkIMl3dUoA0PgUU1howT6ifHGuVKvcAi9Soz1UvN4e3+FAhedOHyzmvV689V
L8IkB3u2YmFo3MrlTdmql2YaVDiAalT3bdOamrXuljdsiyR6pavXLj/V4DSqV7HpTtN5VK/nFDfP
tTSk8Qz9MN21Gi32XLang69e7V07aq9x5SffYt0wv+o4VKwdeTLvtWV+uUVrlXSWlvPzsJwbXe9x
hhTqOGmpLzkIdcSMzVy9+Mu5Y7S4li485QYWizE4Vh7hWbmFPSpuv5SLhdiniloZkXEWZzFCfbvY
jSPTJHiKBTmj6xUzshIZRDO5Ccr24N33eT7zRcrIDJ0Jrpu7+JutKu7jbaFszxmmpqtCag11ZMoQ
bShvdLzYpNvFMk11jfkSKx81oRjv3VDe6kG5rHPTphBtsV7P0gs/ZuXHlkkHPIBolaQWid5Q9Fb2
0GTXWJg84UHE1G0of3cOke7NnblE2GlTtN1apIVNQKkb2KHmgzYcxhDJYzUNoPQ2Oe2uIRmjaY42
gjb169nxNGWubnWL6qA8m7YVEom/mcdW94/ZBA6lX5EBEwVauZ76L+4U9tOTE+kmabkUJ9PWmdux
p7bPpKg2nJve/xo58Ai3s9GXH65q6zPbHquSavCbljK/UVLhCxVzPjnw1DugUTW0uhFbr7mxl0JA
XXUDtnyeWFsL59VdqgP9Ho4VuaKJSkFPqnrBObGCK8QycRN0yPcngAztQWKmvxSqnVAsRYUay3ax
Bozb3RbtQNITI++mzMNuPeZqIZ/SeDgJvfzmabr31i2FiIXqRqRCPXwB5JV7DBDSuwnKLr5KOFrI
H6tqRU2jZZGl/dxsuzzdQCmDzugvfYwOZt31mKmaxtFsnHIvIQ2yKaLIEUAMlY6RanfEFtJ+CZbK
x6HMBN30qgkSXVdnV8YaMVyWNGkczA2aNLsbgyrnvaX2OaXd9fnBW9Y8tdr4sB4h1rasgTq1EQrV
bujf52jjHf8PR1sR/D15XkGRvp9rdHiw1FaMeNhMiAjqSvf9XLM/CdNgGS5Ni/03QjAn3o9zTX7C
Q4QvybalZdBcav2cjqYQlQslN1SW7Ab/2K+daxzXP59rOIYV049vAew8RCdXrcx/OtcqfwbgAKtt
Qs+xn4ZuMPdxGcX7LMATuy3c2O+PPOHzVeq1GH54jKaTqY3hRicqcJH27nikbp2WZ7Bi2BdFPACM
jINjpphuZm8Ur5Xl23uwxBoexoq/SWtk3K2qRC/Kna4JPuFOHtc39uQUlASDljNKrYHoolE/ahVz
h6HTNygW62F/UorhNNKFdSyQ7XCm7TLO/od6BhQPdKLYN4M72BdeqlXHmojucxPXISSfepAnObQ0
gvVZQemOFTNqbxsCwneRrO1uyz0ipNMxGlJ7nZK1eOIs0VWMRSZnrZn74L4AkGGd3Tyy2cKGie1v
tKEaxh1NSkGxF46ZXuiJZyNXh9ZUbqRZBvGLbk0Q4f3Q0LQM5mFaGfu8mnIWoRFk/12gIt1Rpkev
Gm1+LbA10FWkmxKI9Qa5q28mlrNrp/d1B7MzgWX6iIRq4OrqEJdYHvdnUc4WoBtS6hf4jp19Fur9
DQQNc62MZ6vMhxe4tfKpv0lEEZ1idxBUQs/jWYP0ALHMtQ8DbMKjnAr7G6bk+GBRKHVrzAKHZFPn
OpifPtwmUj+EOJv3CQh/bQeJz68PbmroV2lfuMZa85Ppjk2XjElzpC3cOMMprlJAq+JzIjX/Swv6
t97xsvZdLuIp0Ju85d8Isa034caGmS8pcBnJ1ZiVaNZO38zZKRwm7ZU8VfsFWY11gK82A5PaEYzL
ugAQBauDcVkjgPZhpaCp7UK1LBp05omTD6eW9YOTBGoVgUyxSlJ4s/RxqXWFqTYXg9phwPEHYpir
zYaxLDk44ZgjgilzP3ge0/vSy1k/jKnNRzdvtFzZ83KS0lkJPgvNHlOBkGTALa2XL6GeDV9iDAJY
oFBRH+rG0vDO6+4t2f/kiiY3sIaq+wBfXL83qFwor+p0Su5aUXFVTFoRfTQi6b+1gV3eNnMB9wuL
RUdez5jv+ASLkzfQrq2zxTg4hhaCcBE1wY/OgnTpW5SnVlW8Ca1KBxBmU1OCSHWN31A7RHwKt/qQ
pWwJ9LFkGRC9jxk9BGqXz98Sgw7XC/G1r4TWAM2mZnBjLkV+uur0y2dzeKUKkGocmLKU/hlLAaCt
ugCpVanGddK0zUWttx5tAZHvXPhx2Z3apUywVb2CrdWa/H5V2yCC2lYbunHfL1WEIF+8vSXG4Mzp
RlVhJlVt4aAaDOMkzpLrrlfFhqnqOPS/1x22rfUZZlvo7X1P+BdcRqAoer1WUxdoxO09/F7vPlha
FHX6FGe9cWa8Z6pmUarGxUJ1L7oiTf99mCCK6vr3p97u/dt7/ZL+t/ULbyj+8+G9rqO2qKd/Yf1V
/0+/HYKuiXuCQ4vbG3Qk5/fojPPJ5W6GsYpFJccht7vfD0HvE6XgjoXgis75Q4v9cbmTnyzbVXAk
lqQmppZfMu+q7tW/HIHq+shqlMNYR+Pl2/75COxL2wq8ON/WqAK0EUejA9G7El63ko3Rx7ugYjm/
5xB3Wzr8hPZNInr661FPoNtOk2+/ugRbcWHmrcQsGUbTI/lYCtYM2+0uO88u20NXaZN+S5isAZxL
gj1cjV3bg8RN9at6cQCIMQ2fzMCZTp0yBwAzLAi2jdZ7PsyU3YVR7JqrsA2sR8QS54aXrqx3s2F+
6HK67ELToWJOdkCc8BJMsJuH0ZgSALIwcm783knij14DIXuyfCCgNXocC6f4PxF+///azS744P79
w3H5EhTN3yfk+drvj4P1SQDjwjLAx15ltdzfZ0I8AzqZdD7YNooFyugfWofziX9cLRlYUADZsVQP
24/HwWFrgf9A2TiVz8Cgb+MXtA6H4fLPzwMxe0ZVqcQWQYXwX0bCVitxwHF3rGy9DNYO09oV9S0a
KS9BOnNb2oM8Qv69FISIqQlNJZEWLrnTllnWA/Qx6+fEY48JU6bb9fA7Ec59L+jg63phCiXHYbKi
QYCaMExtuL+BMOf+Stqhmd0NOumkO+Fr0QBEYwSmFccDYxtk4CuAniMPDl7ScZvls3LSYyGnX91r
mC9qEkNeUDPZGM5w73WS0qQ8IrG2NWkvmVZpVSVwVIaeVWk6UvDYNVlBJyoV4iwAE2xQAKuEc20B
BcQRpBff6DPT3DVuo6nfJIUed8c8ctIPr65OXRlP4pLS9mZ6aLjr59dVgLt0O2H9nDc6Bke5zuoq
c85hUzriPPdy7Na65rDcKNng1J9ht8fZ3g4CZzj/+1y5kN3+/vk6vzRYcv4JQsGX/yYnshNUoiGa
IveapZ3mNznRg7bHvYcQB7u8ZVv349rF9g+JnVJiqbQ+DqTfnzD3EyYag1MIFp/NrY2H7xeeMEOF
Vf78iLEFgGEjhIkNCJ+pOpJ+unVFZtRqTmptMcQ3a0gv4rUz4vxxsKP6puwa77IIKkwjprTQ1XsN
v8l6KpqRagN9ikwewRjKk1ZZmDoT4m5QYyi+p4/XcPz5Ugwsr44wQPGVURzi6heOlwafu9rJj/+X
vDNrblvLrvBfSeUdLszDQ1LVBEmRmidbll9Qmox5nvHr8x1IsiVP1768lajS7Id0RxYpgsQ5++y9
1resAmzzxq5Tk3yJngbgtnMayznIchFBkcxxFJll0TfXNC/CoFhKDRMrwitaf7I/TcyGcD/rBeEW
c84F2UxIc5scQY8bjWGdLlAdSLY7RRbtLYnja70lnio8b/IY9NXAjgi+R6j0mZ4Psgtezl9VQsUf
CD1/hjz6BncNIn9P6P0HofxPC9V/MGY7QDLiDOiwg147xaBdV5XHKCqwm2Oe3kjQtgpXAZxgHAZy
0IQnqbAdICjtV43WKceK0dbHvUpCsWbn6h5gInPBmcc/oLvooYIlAPcod9oc6WRYARxNpYJ/0SoV
JwGSLFZGkPTHelNk1mqcSFM7sBijlBzslOCYMUd1a83WiYCg1h5OE46KfDZXEPmtHg7CcWGyK6cL
1QF0t4prcLF7QczJciFlo/3Jl/PqkvNbme6Fs1rPnpV71aziqyEHfgbASAA4llQyZr2w7v3lMOv/
UIEl7aYY2zJac+LQMjeaRYMK1z9fBmw6zhJ+BM63VkgM9UlDBVs3rb+i72MVKfp2UZ+YVauGBxbN
y65hzS7xx5RKZ9wWg++H76UwMAgsZlWGjaZ75BgtNEtvjz2AZ6R+kWWJOH4+pTLN5cSqiMMrIUrp
PXE5o+SW8+m2siJOuoE49OqTJeODyVWO8fOpOLYY+O21tMj4Msc2OhUXLlsY3QQxNqHlNJ+vBzVi
WORlDrMpkoGdM77RkX3cqa3Un1oN8bYHXlN2yoXUWU69LhQn+vjvs8D+sro/Dv0f5dU+D2te1PPC
q4HVXRxNbTKpvxQw2jvDMsW6K7h9lgZi50s9LwjlWC9ApAIIo1wRpf6Xep7psAzhhwYZ/02sh3+w
vOqyqNhfiR5Z9GUyydBk8n+wjrxeXruReYXEwjIYMq2LZpCPBq+NYtcQrQ3fbqONNbc7CAvfaqj2
Nv5EM8SvvOE4axztMhKtEr92utOUmMR8FYlWii6aKi3tj9NONFpM5E37hignFomkj/Z45MxV9igK
bqksQ2baZZW1tuoyLkYPPDU6cstCyISrWTFcC/EwcRToiG2FIQzrj5NASo4stMZ2aCpH3qxArmY1
cqIaLcpx3vTCEHLlNG29Nccjb2UaWNvRRMbXlG0SFom6aE+BlY13jIgGaKSOFJwQtJu+V2Z1NDN/
lNLVrJqWuaxXJYY/EleFqlqeFdZjpwNjmXXXPd7oGzXRg24ZzsJsHaF4LsXNadMlVrWUWC0XmBfC
007ouy2PPDY3gL2x8cHSn6ezFBybPLJw2w6QiCM5UC/tCCHThnTvYEuMAZryZtaXq0qM1rwXsnNJ
M1Ggt0KMzodsHor6jMAQX/K23SxeJ8jYPtNTkuMXqByMPWkWu0NSbfRl04/m2TTSpllUszTe0Gjv
j23EdKS0fPuhw2ZzC1cwuKkh1B2Vva7JLrpXxdgbfBPhJsoyFNydTKwt1r4+cMlrQ7PvF3EN6FXI
+Qeh7JcLW7uahNqfKBERm6M15kczV7ADdMIZUMVG7qzZ5RHyW6hn4MLPbgJCv4KbjD92o9hh9UES
1gM/GFB2JipzM5dwTyndtoPnatAcenKIDCLtVUsddGI6LK7rKI2HJiKIhoSKeNRIqsdAvdbxyNes
3L15piNWIY9ON1MCOwc5zTcNbZ7exWASTK4pRi8wMGubraKW6k89Bfewsvoib5cMH6LxEHCmujea
UXyUwAWo9hrHiQO3VWQ+h770cuWyVihuofhH7SrrrGat4wG4kTB5Hsnk3q7StjZ7Zhu6t6760jyU
mXAdxhg7/T2PoctWC1L1gw5k772nG+lJpPJxtH1b2cc9eIeLiXpd4+tChbxwYAFCqyoyicazHNQ8
Qxqn2x4cjbkftCO+BSmnNFpEzaAVC6sjI8kdm3IkQ53rs0cPvsYyMGnNlRqaUCSYGpIPo4DG2vdH
vqOEeqUDTwpLCTxWdlc5RXqXyOV0h3YSUE7o2Oht8xzNcxBPzXEdGBqOgYQbjeRT/FmGeoxOLdj4
aWMeOSikGheLD9wb/Brw+5Kp1sKlpUa00+gyZKHrT1P2mfMAhoaSboG3N4TS5B9ZgIv806yXYQXi
Wuo+OHGh7Zscuk7UDk3WorYigIKNU5qrFFJ5sGa1MC7Dos/uBppihWtb0VhtSF7G+u+DLOiXdDSZ
KSl9pX3sEgrgRc+0b1qS5qXsw5XQokWdez58iZghxcae7PqsRPrUHMQJLPtFrjcj9xezOHIQCfxA
PpU0ED5Ze2iWq2mDAgzrBORdcA+nzB0tx/VwSlE/eW2asQrahXxkG6jCFm3vk/uj5oa83ymtLIwn
TQtfp9XSOwvdaLes894nyY9uqSmvfK0b4MTrsSzhN/UzeZWPLINUDCLaKtcl1CmZcsHUILxQE8xR
C5gMDzjsw3BB17S+VAGjn6l2mdJyt1FVuyUjCH+fLz9001HuKL/NKipBlkyynBDw1Tdg20Njo2Aj
vrIHz/rkMCVz1lUcOgmmXF7JVdoCHZGpx24qG/5mnJXJdNqjrT/rlVEg9VuUc6iYTfLdlo2QNtth
VN1y+aqDQAifU60Nj+1ZDc2VjujkVPEqgkyyjhW5O7S7Xt7Kcq1dK0JUrRI5eWbOSmtbT8JjyVQb
hPkIsUl4QZOdZWirRyHU7mBBnLdCvE1RXsoLq5KNQ/wtqLtlcGa3xpBMB7UQf5OTaRymQhAuJbb5
MREi8V7IxYE4l87am6Xk6iwrz2aJOZxX5ObKLD1n/WGxkloU6VIvxOnEgiNUN4Vm3ec6E2E3FaA1
haQ9EOp2oNNMg0dmtOLbovbJntK13bol3560cKGQH2exfDIL55NZRG/OgvqW6ygz90Fn3+oEb9Ch
Q31vz0L8WkGTT4MBeT7HOaT63Szbd2YJP+JE70yehf3mrPEXav94Fv6HwgNgE/ugbaSUoX3ERD5B
jI9fABf+8BkqGyYC2N3TgTpbC/rCw2YAyx9QN/+V8YU5jzJ0f1TSg3iec5Ri5IGOgOmHNU9CPDEU
ief5CINripB5ahLNExQ4Ge1exFTl/39pijzHsgTp4ecn/xMAZt831r784nNbTYCWiPCm6jRsPDeU
fY9nfgS6dHaZQ+r2I2zpa1VK5pqh0jhj3GpAgxB+m+eqFGsPwAkB7kdfxIgUeNMfVKVE376uSunP
yQrsONnQRcfbML/pq6X90AVqFYMnU8rzsLSg6Uh5GyxzU7LfW5Gjk7vo3SH2pnWc5CF68NGu9KPa
xiq6GHxJUV006bW8aBTjcxcqxcM0ORDhjHDwKACk2MsZlY6AmCJ1Owq/F+xUvR0PJYy1zkFhGhUj
I43uM+Eusn6NWDjulw5pHd46TBBkbuqqYmeqRpG3GqOSBjmr24wBiWdxoPwY9AAjo2cFVD2bA3+O
NLdaNgincTcqdn1H/TZ+TrOmvai59QkJk2L5wgkaYigRjPoHGP0zAqgaQcqox64s9rnD2DgILQjD
Ta/1MrbMUOgiosLUq8MQvB+iZL1SlkahjRdBBJjN7WH5H+m1ZSaLyCqp0MiCBrdBCzIQsprxpEyc
etmW44j+xVDL6Mwfyq6hhxj5V1Oo+Wea3xuf8qbSLDa3djpltsYm2IwKhHgdBOg9TcHmoxkHtCka
XbmtZbXD1VngiSK12gIoHDoN1dHEUQjUgcVhGrh4sF/nBKDvDb2uylAMs/g9wpZaXSEwUT61duXE
62iUQAEiQTqnPTNcqF5Wf/CcOmg2aIkAHcOiLshdtCkWXTOkDEd5nJF2o7WopRZYu4FgGGCleP4B
bQ96asxRFMAy9YPRWheofQD06nGrTgc4DSbCM4EJDYwBxoztXGHWqvcJNoqR9gSZRL0UoQjp88Jy
4ywia3YK0aQtmOwGuEWGCtFyDnxcPaCjO4oAFXxhK8PvzOOU4f5llCsArEoUrcqiHDLFWDGxtwNW
eLRQS0ZuAV8kR8ZNY7TOSVSMWev6PQqpZR8x3EVx6vR3nTQlCvq0IH+QDYU6tzH1gPgj0YdNRUe2
b9H+LvPAplHLd4em7QDuoaW4lVsxwAQSTJONFq9ldWa7MoqWL+RkpcNF0CrDMa4SWsN45etrc+iy
/WRuHUMss2gjzy3liPCmIwmSvDvNLWd1bj93cyuanFTa0nx4tKj7ZoCYLKUjvIpibmMHc0t7YvDY
YkMXrW5ddL0j0f8uzVw+9rXa2egJBElQ5XTK1blp7tA+z0UfHYMrLXXOh9xahui0F8bcdA81o0Kv
JDvlkpmQ9VA61JYKeuv9EdNgu/q32DXoMLCG/mLXGH/g+WDTePy9500Dbg9TFboWmkxj2GQf+rJp
AKWgUUwrgV1DUWgHf2kUw4XQWADxaT5qUr9sGhagC/oYbEL8HtLTP8QVC4zyN60MomGELodxEKW5
LXSpLzrFOTlERqVClSud+GhCQI0hXsUkjuc/Mc+6yvLAg+HRcuMSG5cpN+FnpyRFWqJaXzeGSj+Q
WxaBNNaxOuwrN6stlGKe4h1aLe1VuGJ+My2H3oIMjgepgouQk5ysoIffTLZdXxoYLD47gj+ewQvA
TFYlV3qspRtou3SYQ0eP9pUGkkDc+cYp0NQkdXWjmPYK28vWjuxbq0iQ0zXBUM9rGkOcCyoY643A
rWexpZ+g3aBP0QBRfF81JSpTyW5v47o/g87ney7pJCaxUJDOF/YYpRdyL3VEzQR6rQBZMsvPfinn
uAiRcsdWHFmLNA28aRVFbGeryHM4sOrm2BTLcLJNF1wGFHuHRaBwixJu6YIw9vyaRDJ9Y9DCDunn
AsvPiD8+44b2PnSmMxEXY7eQZGfjVzSbwGrhB0uEM2yYTWLTbBhzZvNY++gkg3yOrSxXqTPdqSw8
oR4c43hVpmzfVLN6DB4Zb1pOyuJdaY6c/AfhXfPRmWubtCOj9EqbPW7V7HfTZ+8bWgoW8GIoLWDz
xL9FC/pgBcbdsFYd6HeRLJPKFmr9dK9EbdIeSXFXgLmerXemcOGhMI4PJCnJiAljBXP29UJhbzRy
TU02Y6p5C3NsG3NpwMeFIRsNEPsGfTwo8zq5zi1UT31p50szk5OHsei7bdRnyoHW5p4rSc2ZZtO6
Iaaq2J8mO/5ocddtlYiDIuSlVr1uiewz1qXf44WQaBXB9O/UFWJdn6Zz5w0r7kb/nrzjcEnjTdln
+YfnRGM5Zu/yCcOqAw4+Y4BUbBq7EF52W2yH0FFISjDyh85o2IHkrlGPsBY6rKJ5f6qwCWxj1uxt
11aW245DsOnjpluNfqOtcM8TukzvaluQOYA0abDs60zrzvpQOlLIp42AYFqYgqf4IIABvJHk0dhH
7roxexr5UOzykzHoK+hdxSbqE+kkgbvv99INLR7co2O0JzOO+gCM+CzH+gTXyFTfB5pOBGwhVyvo
TMNl3Il9Hk4cMnMfg62Gq3aM2W2lsBvWozld27JNUyqr73V/UG+lptnMf5WUEZOAeB4YZzQa694Z
THKRig/iHwRNfxZJyjX7U7gItaRdm6xxa4+wIqBcerRnYZ7c77XssPeN6ry0an+jG6a5VuxRXqpl
edYxHiUIgja9gG4c4fOZCK2Pj6GIHidqGazzsLvPNMgSXq5rW7C3x22IEWphkJamN0CZjanHF10S
Q3FgD0nC4CLsDmyFm18pUf9pcGFujCpVrjPs6WfcGfW9maqDOwTlpk1kj4C2Rn0wy2la9fRtz5tC
JmIgCryTHADvhkrjAqyat0ENay9Zx6/qeIrOqMhQTYzyB9Xrjgx52FjiCXySuGnNMRrOAxCl+uhr
H6qM6segVyj+RxNlxwOExP2srchu0Rp5laqyudGCktxaCeVipsQ2DQv9WmocbzmoNAoDy7uvYMVg
EEuOGzEY0SUvOcA4N75H+2IxzHJIGUTJgRRNPsMLFi7STvbXkWLdj8J6o4WhdpmWrXSe1k6yVNsa
erdmXWe1Z7d7aPv5+AzNJ/vIKzddAiuFuKtPZukQIkNV6qZ4vOlw+MdRp59GnPb3ME2reNzGkkBm
IYH2jMnY94auXFUpYsrB/4Rcea1MKLmqKRh0zN+D6Ya1US9RSJKIoUtno5L0YF37AV1+H1xqKXWP
GuvTfoaCJVuwQio0oTILHZwhu75Td0vsUuYi0as4W/z/r1GeBie4Pn9RpZyH3UP1c9mI+OXHUsV6
J/iGnGLh08yowy/nWwQgjk2SnI0TFsUwJc6XUsVASiwza3EwtsJGRFf8pVRBhkKTHJsr51+cNwKp
+CfnW/W7qQtkEfiLTNQtler526nLoGUjxVTiEkEkX7A1NO/TLLSPNISQ7xMLs9eiU+VB3haWT9M+
o58O2aCT5Csfji+EnnCEvtkkVb2NfLBQLnseOL8BAv2l6BrvqwPjVbeIe78/cXKDcw/jAfaMvguL
OzppqrlWO9vG49UawyfOQcNFoxu6Jw52cgADOSdzs8R8QOdR15eyHeQGLJW4IMnNKMgXwfvfHw2l
Oob7gyRNtKs0oaLnu6/T5+R06radhYRx1MOGvndsBFDLoXqNq8CJwo9eZGo3tMRSmWgdubNda6Tv
sQ5UNSW8hiGs7ZKobOoA0iOYNGHmte+joSKXsukltVgAkZX9rREljVsS4Swtstpv5TVyoZGbtku7
w8SnfbXA5QuMH06Yd6MyuSH/W+3ZsoOeekfkp0rnrdm2t2WRxXR9dU9Rjx2/rNmZzDhrF3zHmtOw
96CGYQWlZ64ZgXeEkjLL9voWVuFiIHPqsIe9ny9UIBU0xsbYQghDxDTRFTF9ewDpWF/dzlADYGCE
WG6IbzERMHNAOsQXMd0hhhurVe6lpbnw9GIyP45h74wLrSubYy3o2vdVpNb0c6HkEgnU9rFxntNM
3suQlU4rXLees4i7tHgI48LCEVFzql54TBfiPdksIxw1smowR4afhJ64c71KLj4HjddRnOratdFO
IZbCAiUebj6tlwB0OcNVpjh2yyIFQPLfaH1iIfn5KeqCcr/5wUHqeXHjlx/XJ4x66Ga4gAaaTmoR
gwHv41FKf0fJZrDSMPiFUs5s+Mv6BCEd0A2AGgQ3YnUSfcCvFj5+RxyzLItoa8ytf7I+YQv89igl
vPkOpn7+QjSoxjf9N0syCod4sRWWnZ5GRR9nGzrJhwCghqucEcwBfLP8JusD6Q4WV3bIux1vezRt
xy3aILcKyCOz+iSuwV7EymVVK/a+F1KkmEFqfBadfuTfRqmc0D3BUmU13j7JVMaBn3cjlm3TQDbf
jdcSQW6rJNLUTyXsCVAu3XHeqYkr2UQbLdOWO3IENXQQIbK+b025ptE2xf55CPLF3vdzL/CXRll7
p5Wa+yRBymG+6mnX6AtrGPrIteTBPugpI/plbRQS45Nc9Xy3YVaZw1/xY2qB0kTA0+aVzlTIVtrF
NA2Kfej0E3gQzcyA/JSpjJs2cuT4qlWsvNsLm8kUDaBUPvXU3hvcnKI1c+VKCZk5e2bzARZzW+2P
PsehJWZpm2ZhFXeXdgwZYVEpiXVRRfCJ0SR5ERsCM+W1XSfWveRNjcMIo1bataRO6tlY+giAYp9p
1Aot8RCsM2kYCcEitPKy0bycIMzcMA8qrwWu0atpBo0v8oDR+DrDJ7qCoffAtKS51O1uLSF5X9h9
Ep0nUggDewysNF121iRfdqOXnVjSpDduDrX0Mhj8jGwXS0lXOUD309JLm324jCRkZamjjauKkROY
FH06HPraOeoklIiTXoL8Iyj0JCdvplkFqkN5F0tB+2A6Ya0deXKVfe7aoT4P8H867iCFXrzXOUmn
I5uhWVlm68owOvkBgaJZLSSbkMM93fLgCpBsyOFiVSllNBxPE1ibwzqtlWjNXhXAG1OLKHVTIy4m
CHu1CVKfxJHqqNSiauI94GglNRmw9cKPyTVcZgpnR/rHyUT7NkAolR9gvGgH2sAT0nkiNvJxGQyD
V2/zqjXqbddr8GtIBFOn97bcE87SdeWlgTxNQQyZylc1hpL8htST2OSESWd7aZemca6rNRS/oMR+
qlbNeNSVMlIrCIab3qlFd06KcXGoia8ZiwHod0z6zSCrh1FaD5shbbIjpTKtLUJmay9iJrrXgzz7
WFutVS8EXPmjNHrxx9h3mMT1TcyUFOQKCB9JbdFyRuYhSdbBiSEVyDMgBNchaCp14EBpeGFO2F9h
0joIqprvVBBvcTVqy8YLIKyTNcpMkCGOuWLCT3hM449BTeBaYyydYNQ3Qw2KZzEEtX4BXkDZp4rR
7jkrTCdQ0yeV1A4iUgu+y/eV14C3AvRS2Vy2wAuZBqoIYBtPy/0V40MBzdFbygRWTfakUmYmbqXm
FvCvsd8RbSIIuqa+F+te+BEcfDzuO1rLXtcZcn0+6jk1gga+yVnY5JOc9FaSP/zbFN0C/vrzTe0k
u//5liZ+9XlLY/rD0VlU1ja8FY2a93lLY6+yUGqbCg5zdq+vxgXEooaMjNRmp6OoA732ZUsz2OwY
UdG4pYjnH6An/4OSm6r+ZW9QxY5u2ioVP+xcdkn5mw1NqnVOgYA/26ZJ9istGjaa6BUHuAZJwOKP
MBZe32FXfXGlTh91VP+BOuQ0D7Om/q//ROP17QvbMg54RjrCfUFvks7oy6ZkZthKhZHJVSwk0sA1
SlwIgW6Gx0mEr/woCKdJosnnV2ejWeIjy/yyUlYNzbKzyUfQsYDwf1FJsn41qnIe4KjKxg9YjULb
jXs5ukH108CSyZWAHMO8y+5jqeynZRh1qbfwaiWnPrcRdLQmY4llNfasmgzFQNg1YVdANPtgxJ2s
wgsn5hOmplNJhw1o0nrhBwmDXdPIsysJ5MZnuwc+uSRU66MO1mRPQzaWL/xRJ6ZU6WTgOalPM3EZ
cCKGfIbos6EEmMzStXu5JmxMF+JNG64YYcolpbOZF0Qg91yADxTiw7mKOGVYBlNLpxUuqjS5GcD2
0c1sgggAqlTIwzJfVKSjcs1vdChFxBRmGu3DHJTZpgjATxapFR+UXajnbtwp4dXYKuOp3hbWR/p/
wy0sT6z3mopDZG12fhXuGa2q7FlQzeCwlqRmSsFQxgsvSzvYFzV0GMcu9FNiRyxivgwiYxdqVBOW
KLdeclFbWtsskcFZRcv1rstBgsUKY5MOcEs4zEZCOKVtYGYN+TFyX9FhGBVJXgt2/BCmcbZiswwn
1FJA4notIv6IODi/QMxkR5chg7tmxWAHqipweeZuzGc02m9Tdeil4yhUpWYI5NYL4sgNZQN6vhaQ
OrNSRXm/pzWOfhvmqbKVLKXzXDObZF3A8SxlIV/auVU62MsQZ8R+zQSznKeZdomUyw2broE6o3m2
tyZ+K+qXbPX6tY11F7P0PB/15llpJbf9eDiWEjNUddS2NHGY4swT1iRrHQ35r5i84h4rHlqmsdJU
Mpd1lJgZbTPPa0tABkdBrTDFjeeJbs9s1xRD3t4e7feSDHE2A64/AkPOwvNEh5JfD3WCy23gdke1
F3b2xUDyU8TfAQYN7t7QJtt/m/Vd/2VTZfGQtQ/fKwaezizidx8XeIcFWRi/aFzgFBCYzOcFnm6L
GBoK2gcdFN0UiZRP4x9yLFnhBGBWgDUfndtfrDg6Jx0wISirmVqLM9AfLPBkRH230uoyyCCmTEi4
0SCILeDF+KeL2rgiPBqxTpuv6i6KjrowLBo37arwAFwn8ThIvz9pjQRbUGtaO19JviZpawexSy1Q
h8FdTfZR6SqNkxaHAebi88bP6quB/QTgdVb49aVVG86NnKFYdC1HihRmQEPkbekG2MSXaUxt131K
Hht0BR9cQZSFcrdfRFnqAzSg9e8v086YaI1WcdJeAnXKtc/a0Lecc/K2XgFsajcNuiHjAE1eDNTP
8aDnCSdCN5sShD0hmJ0Ko455mmXb69UtVj3cDPqjtSGZfQ5+heUBtVIy7NUSaoqVxtxCWfm5jvZU
682xO0oYcJUursIpojD2BmSDgL9kt4u5uz7Zsz68n7XigCPRjWeyH+R7JflHwTZNkmRDIKeU7Xn9
bO6ejd7mbPpWpLTWtmwQ5N46OANWnAR9zY1iMpBIMmAlWcbCOR4aAORpt6jJxz6T+2RZgnB3x7Ck
kLaR3J37Hu9shcJQHpfWbEqP8sla4TcuII4L1/qAvX2bmhpgKa9gHW+MB6LlSJTyolSxFpFtxAwt
JIMSOiJpA9uuFIQXTehIn7UOwzsTFbljR/BAyyD2K/j0deT9oQR6dOU02qSddHVtbFQYIaRvxuVW
obV0qmJ9WptwuCpiRjRldDUFr3ec+85hOujSuKy9IAK2mfmcYpvUH5YtC9Z5naTDh7aW5POKwdRt
o3rhPYUFqacAR/QPJOxZsI/5yqxDMrcoUz2os7gW3aQaq7USKeatgyrv0MtQVjLdVNiRA8ZbEUCs
ONhjVzkDx5RvfKQOLrl7740KdpijNL47KGmyqozIP2cs431WnFLj4KBc9WVzF8tlsjGUKvhACBIT
0MYsVr1ILY8MI9/KdaWvcW0q2ygPbmKYqChVR2kzVeqxzAjzlLHmuGStvnMiM7kQL0sW4V3hK0dk
kfnLCC/puira8FBKg3uvMu7KNHnPeSPeVmY6LW0yoatCCTgaJhD9jT7iUB01k3+QTOpY7hXDNHya
mErtabWXpit5KlUk1ba3jQg2vKIwgNSVRmyintWcoEaLDmPfTDZZbR9ZSWZUi064ZNRC2Tij3a2y
upX2dHUkPdpKyuoqYobmL8ygFkHMRuuGpi8vI1sfYMlJXMYkeJ8WkbTUSoU72pni+KyviTsZSCBY
1ZOPfwV7CT19Io+kVPMPk1Tn16DUnLRBdUXHNlxUTFzdMu5CjHymLX1E1UCEkWocaXT61rXdDy5x
6fkH3yqStVTGa1z3XuG+nS1MxCr9LByJlKWvP51L5cv8uwSl3/pHv36iP0pbEj2tV4ee+Q+b855+
9TykMIVNe0+ck07WMq5rDZna44MDT5Jn/tOPoZnoCp01drjHB5sir/fiOv3sSvz6TX4fRvX987x6
A3c5TB0RYuWDcmcz/5raaNFb/J1L8M0zfL0EDjRPOpXMSp4uAU/46hKId467+vnHVAz/J5fgr5K3
DD6637kQ3zzPywuB4GLumT592BzzXlwIRSVcizpH+HUeH2/0QogUmp0uhPnOMBifAXN/+kbwhC8u
hPUOeABoVuX5Ovxf3RTffJIvbgqsByByYeDtdiEMuAs6GlsuxuPj2wthiC4/7f2nH/OFeVu3Bn0X
WRGDyR2/D8w3NVhOQjgmHjzhi++DiaQYG5vOuO7x8eZWCFZvSMa77hUsAKyCxiyZfvH2ReYtGjjE
dGjn5sdb+xY8nwJ/c6f45rb6ukCa72j7mRjJn9eF1wuk/Y5rIKBfzz9+/N7972+W37yB79YFnd7l
TjcEmGvWF5qBurjBeLyuGvgxGgOGb+rjAvQGr8Djkv1NQfdHdRPKDIEZhSEzPziov7gniD8DRspe
+rxwvrkl4fme2HVtNAhzo19C+NvTheDKvroQisXKSLPl8Ysiv9ULwbB5x3tCJbzOwo2i8hZfXQEG
CtQLYqowPx77WG/wnnj8aP7+PQGxhigbwIfP+8Dre8J4x8hNkGyw3cyPx3r1DV6IXb8KDIRErTB/
G+Z3+vobYeAzIqZWfVo759XzbZVNz4vDzhXDnMcr01T9ZoNQSFFCnWaKvIU3+da1XbdI1kWawUhn
efPz43XNiG0AM4H5dGZ7e/eAkA3uViJwWoQwilzj9ZnBeWcgZ5yxO4/X5a0entRdvwEMFOAGiUnC
0zeAJ3yxL+jv4GlgKoGc8fh4c9UiUw3kU7teBopBJueGBuzv1funtYQKVVXFyOXx8VaXgscN++/v
i4BQ0BLYIH9ffwNsJk4mp0a0s4+PN3d8ftoHvqPg/WmXkYYKIkBZQzrx9Hj1VRAQGYuqAAzd4+Ot
rgkiBGjXVRHto4yS5GsN9GJNIHRIBWDztZh+q7WiwPzsdiEUmmgYhS2B+hSP1wUCAlLZovf0XEkK
gfvbrBN2LZqpFVHWcExE5z8/XteK1NQ2/zGtN7c7PK8Nj0f8v786wnaFCkd8wot94MUtYb9ThUhY
0D8eH292bXgsZf/+hXDeOeABqQderY3GO4pERUaT8LQ2vtU74TvTy59uErqYNZn0TZ4+aNEqePFF
QG1O6hoX4vnnb6639AVPsdPKSDcZNb2QlHzdDF9cBk3cLlQSSIIfH2/xMjwarne6DNz3CuOoGeT5
6u3D2cHe9GYPjt9xTf70NnDeEb2jEQf83CZ5XTYzrYSHSQ7AWy0WhQ1jp0+eeQKzNXwlX1qKr9YB
YjQUGssMbJ/uj7e6M0Ip3+1CME/ARqPxXXh6p6+/CRysLJSRGvaEx5XgD3opv9Fw+CJlcIMwuV+J
gXv4UM8t8sfp/V/+g2cJwPdP8M38/tU/vByLh8enfpxbiP/9368mGrP84MUPn+UI8+s8/frTG/z+
pV+91vO7ev5/bkJg99VdACWFtzs+/ZnHNylKiZNfwyXmXxAv/l//+eqPffEd+OWz/wXwaMenP/ir
bPNdn//mvv1R7NuXFsLXj+vvXR+3yuv6P2br7PcqTzHenOumXV9lkVc/io39Mj7d9fn/ld2ktz8K
mRc1zTyn3vUVPt2kn38YY/9Urosxx66vcZ3fPjw/y/Ze+AVmtYGYe+z61Jf87bc333/Czy/Bkrrr
S/yOvXHHu+F3HN47vsQpU+mHm/bnV4pj0q5X6qT+EYTt+aOgl7XzC/ylKWfHq/QbfONdX+G3EPU7
vshv5Ezs+AoHfxlutusLPNze/iI+7R+4rw9ufiN6dNd38Zep4ju+wH7o/zLv4B+4q7fpL4xw/8BN
TYbY7S+cGIwUd102/jiTaMcPZZW1/s9XWqE23PUdgWpqfn53iFyKnV/hF/ZHEZC08/Pf5tn4i7fw
D9zgy4ek+XlpoHMM3PVN/IaJaMev0uJmfEjqX7yLf+AGX9y0d8EvPop/4B7/V0woy5bAxZ/WH0KY
vuvH8a/7m/RXq6EYnu/8Grfhzz8NoZ/99Qv86Jj5RR7//eHzWfb+o197fbIW/+Iuebip/vt/AAAA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2">
                <a:lumMod val="10000"/>
              </a:scheme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Mortality by State over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Helvetica" panose="020B0604020202020204" pitchFamily="34" charset="0"/>
              <a:cs typeface="Helvetica" panose="020B0604020202020204" pitchFamily="34" charset="0"/>
            </a:rPr>
            <a:t>Total Mortality by State over Time</a:t>
          </a:r>
        </a:p>
      </cx:txPr>
    </cx:title>
    <cx:plotArea>
      <cx:plotAreaRegion>
        <cx:series layoutId="regionMap" uniqueId="{54E67829-B7C2-424C-B1D6-3D2075422409}">
          <cx:tx>
            <cx:txData>
              <cx:f>_xlchart.v5.2</cx:f>
              <cx:v>Deaths</cx:v>
            </cx:txData>
          </cx:tx>
          <cx:dataId val="0"/>
          <cx:layoutPr>
            <cx:geography cultureLanguage="en-US" cultureRegion="US" attribution="Powered by Bing">
              <cx:geoCache provider="{E9337A44-BEBE-4D9F-B70C-5C5E7DAFC167}">
                <cx:binary>1Hxpc+Q2su1fcfjzo4wd4MR4IgZklUp7763uLwy1pCbBDVwAbr/+Zmlpq8o9vs+6uhFX5Qi5JRSq
QBxm5smTCf7zevrHdXl71f0yVWXd/+N6+v3XzLnmH7/91l9nt9VVf1CZ68729rs7uLbVb/b7d3N9
+9tNdzWaOv2NIMx+u86uOnc7/fqvf8Knpbf21F5fOWPrt/62m9/d9r50/V+M/XTol6ubytSx6V1n
rh3+/dd/fzNXv/5yWzvj5g9zc/v7rzvv+PWX3/Y/50/f+UsJy3L+BubyA8YZCjkV6P5Ffv2ltHX6
MCwPOOYUiZA/DNPHrz6/qmD6djG/vHdX7vbx7z9b0t2Crm5uutu+h+u5+//u3J1L2B26tr522+1L
YSd///XcpLfddgdMb6P7ochur+T88O7Sf9vd+n/9c+8PsBl7f3mCzv7O/XdDfwLn9Cq1/V9txd9D
RxxwIkJEMQsfXjvo0AMuJUOIPQ6rx6++R+duNc+FZ2fyHj47Y68KoH/fXFVX4wsaUAgWQkIp+SNC
YCFPDAiTA6oUVoo+vmEXoof1PBekvel7MO2NviqgtO1q+7hXP3Mqf8+SAAesJKch3oWHHlCkEKKM
/DCwe9d6b0F3q3guODuT96DZGXtVwPy7GK9+Ofpmq5cDhx2EDClBBX6IMrsgyQPFMCGCyweM9tzc
jxU9F6g/fcAeWH8af12A1VfVt+4FXZ44IFhRTIV6wEPs2JQ4ADqBATL6gCZ7vFMeOMP9ep4N1u70
fah2R18VUPrKX2fmcbNewOehA0GIIoqBh9u+ds0KowNEFEQuApxvx+ndreO5+NxfxePsPXh2B18Z
OvNt2b+gGbEDKYA5KP7I3uSeGQE6CpjFIzPfMyN9dbeex43+zwnBz9n33vQ/4bTz4a8KqPi2dC8I
EwcOLiEFQk+izxOCJw6wBF8n4C33rz2Y7lbzXJB2Ju9BtDP2qgBafbP1/IJ+DiAIQxFiKR8g2KXg
6gDonQoRfhyGcPXU3d0v57kQ7c7ew2h38HWBdPOC7FscgPkAf/vBsnddHT8IJSESM8hl714QqHYQ
urHPhuePqfvY/DHyuoApjHtB45EHckvkwLs97D34ryfujR+A81OUPDCIOw6xA812Nc8G5+nkfXie
jr0qgI5N+qIKw1ZCIJxQQXe1ua3ygCgJySN/2EuL7tfxXGx2Z++Bszv4qtBZ1T71j+7lf86xQaHb
aqchfQwuuxjJA4YZkAf8qP7sYXS3mudCtDN5D6GdsVcF0Dr68N/B878o4J5cud7UL0gfwXq5AI2J
PN4gENue+FcJKRqST9glRMan/vVhPc+9Rfam790ke6Ov6jY5tNW3vyw6/E19EIFOCxQ+3BcI8QFB
gguh9jjJ3fc/F5adyXug7Iy9KkiOqhekjJB2KR4yDr71/rUrMskDJEQo+B4qsITnYvJk6h4iT0Ze
FR4nVzf+RV3Z1kYIpwTvBznFKSWEP0IV7vuw7Tqei8v9VTzO3oNmd/CVofOi9Q18oEKmaEhg85/E
F3UA9ASkWPyo1e4VcE+u6mdbzNO5f8Llj499Vai8M8Nt94IVXLatXQhQ8h6yK7SbXokDJRDUPuTj
+J4Ue7+cx5v/nhj8jLT+XOPbnb0H0e7gqwLp5PbbtxdMgTEGli4kl/ynOjk7wEhCl8RjhTDcp2jb
1TwXortLeZy8h9DO2OsCyKYviA9IFCELQQYnP5UoQFxS8J+Qe7reCSzicWf/ruU8nbuPypOPfVWg
nF/1V9Ct9IK5jTpgFFyXeBr4d2IPAb6gOGQ396+95PdxQc8FaX/+HlD7w68LrG2b0yON+pnH/3vp
TXgQUiKgxr5DDvgBEGgM0Yc+cOw9z3bXa/VsdLZX8Dh5H5qnY68Kl4vU1y8HC5TKpVLQ1/DIzsBC
nhgQ3doXMDr66Pj22MF2MY87/Hc93NO5e+g8HXpd4PQvCQ70PjLFEPvR5rDLrNkBA/BA2RF/JKhP
lZsLWMyzwXkydx+cJ0OvC5z5BdUBBS0o0HfH0b7BcMGICvfFmov52UnOk6n7SPzxoa8KiDfQ/Xt7
9YIaeHiAuKJsayz3r115IAR+RgSB/q5Hx3nfB/SwjufayN70PXD2Rl8VQO9tYd0LGgumIJZhjLdF
vvvXTpThBxRDDxD60aG6x6Pvl/NcmHZn76G0O/iqQPoAXPrbi3JpOEGAKZjRA0a7RgTNWpJKQal8
6JHcEz7vl/NckHZn74G0O/iqQPp6VX0HnB79zv+cR0M1B92Vysm+jsNwCJU+aES5f+0x6YeFPBef
vel7AO2N/p9G6D8t7il93XnP3zzPAsEGYhDl4rHcxnd8nTzYwiOhFfwhVAGMT0nbj9Ml/3k9P5fa
fkzcWfz/+nGV/1wJ/XHoJ75yV6u700JPTrP89ejjMZi9qQ879VMrut+vo5vff8UCQ9cpo7DxP04i
bT9oZ593pK2fzr296t3vv0Jrl7iLS0KGXHAGFGK83Q5AagTeEPIiAhScI07B4GrbuQwWQA8Ig9aI
kHOFEWcCeHtv/d0QAi1v2wiGKXRdKsTkj7Nab2w5p7b+sTEPv/9S++qNNbXr4TsZsM3m/n3bK4WW
P2jKYLAsLgnihCnw2c311Ts4EAZvx/+vbSTnKVVx0hbMHbpM4CYybVBfD/3IP/BAlElU4SE99mEr
VqhTpovoMA2lFqaYLppgosdwZmz4VI1ogj/6rE3f4Ing9EwkYZAcpjKYWJQtS/1dDr42kSK5SuKJ
WGZiF+Du7TIoejsMLD2eUGBclFVOnLWVMZtW5PQ8S2URoWL0b7qM049psbhzhKfw1NXTp8KQ5dDN
HYpYEYZu1TC+XLdhU127zNnrJBvk2vduOkypQ6kmLVwJ7vJERtSIAGm5UPe5yMq80FPNs1EL29Sn
7VDBWLC004UakLKRn1l4VC2CxCZMhlXaoNlo4+e5iKfccXGc5Ko8wijr00NWyanSE/LLeRJWYaqz
lqRC0zYoqLZo7t77onXqPMin7GrOg+qCtpZ87OqFfAoH0x7lZrHp4TL14rTmqTgNEUvWpErlqJcy
96ukReSMzWV5xUrm1jiBvyG59I0e2sTiD6SulkpnDJVZxAuHu0OBXXFm5okc4l7k86nx7XxKwpx8
KHpsNkNgxmkF6+m/JrJXdaSYbIRmRZF9JJ3KlqgB3MsVyvjCYlzX9HBGuBYRY2VdRsukxFvbNW2v
XUfmct319UJXczVad+qrZjk1jWTvpKyyyxkhOBTX181S6KRr56swCPM4L1yPIjtj61dTqKYpEi1L
Vay6Kd0Eed2s2sb4z2acJ3uIppQX77MqtEM0pQuroikcXeRxuuQx8WPVxkPGChYnVJjzUDX2y9jP
stchzkoRm3YWedTLZj4itMYf50n2TDObVB8kadWJl3ROdSjrbl3bchq041Nz4m0yrJn1o1nJruo/
5p3KB21wsUQzyB/f6dL7M5L3+UW3TFOvB0wmEhX5xPsVrmbxZjaAjQ6noFnb1NMNa+YyKmuK1g2z
5Gs60GzVpsn8ZbKCr9Ogmo9kl/ATJl1yHNDRR5y3+MLkHRr0nBP2PTRZu+l7rI6BGKMPNLd5H/cZ
D7VPJxUN4F7OQ4Lmb7Lj1WnezMl126r6qqFLcmLrZPosmuGUjkW9mZJp4KtJlva2KPvggilXh3ph
1gZ65Kh/14R1NUS57Yr5uOj6/JJZwQ69xCLV5eD58WIHcTRDGa89ChxPSLzQrooH2TTxFNAmXQlR
m1IvcxmYdVp2vdJ94spctz32N2lip2vBSkRWvpTLBSstveGdwMe4Yex9aLg0OslmtsHjzOPGDaaP
517ls5b9IlZ9X+Z91CfZ1EWdKGks26yA/fO9znEjsDY8MVYnkkwmRkvmTBTacPAaTSy7mIpcnNoy
ID5KijIT62l0xacyDZuLdEmKywrL8hLxTPV6Kl17STnODud5locNN+qozGl9RpNl2nTBhMjpLGhQ
aFqmlGsUFGzUI0t4rRmVxWZskdCkp/NZtcih0pT0+FbZSrxLhgy3seh9LiInR2qv5Ligz8KmLT7q
srz9EKKR6HbmZPk4jpSBqRQpyjT2jFW6koVPvza0WpazKeeVi9QYpHbjU+ljz9pqiQlrFnOdd7g3
cTWllN34yfnyOC2GuXgjA69U1HkBzrLuW4eOk2Ye2gjN0yI3ZRu0Yt2ipYC7Nl8sjUg1oeGEZ9Sk
UY8WYg7TVualDo3h00c15LXSNeejaXU2ZNXXiSSOv61ZXh4vSdYeT0kA/kiKJWc6Rxmr1z2uPyfI
WLSyrEBBZItp7lakgca1VdF1uQOzDDC/RiTJvxVumqPRNvS8HXK/aI89quAeMfjYjSmutOSV4Lqt
cYfOysRXdeTTEG6Isk9VGBm64Dd5wEStC1I58HBGhTxKSgcuvuUiyhKflLpbOM4vcF+FDBBVQRGp
YepvxBASd9KXU//Wlg1Tm84maRHV7UJyXZUNPh4sp0vsS2h91Gjs6GXT8DrXKQS0Mc4bPlZ6oKnV
Tw8E78T3a9vMnUmzh+PYP37910VzW7933e2tO7tq7g4K/zG2++sf54i35ObHoeI9ynR/6Ps/8Km/
HNwhWzuk8pGx3pEt+Zc06wcrfUKxtjPuyRVmB0JKaE2k0L+ogMIAh7pnVwQGgFdBM5Tc5qOgtD1l
V6BYCzhIGSI49AD1nR/sikGvMPAxELNluGXYMOvxynd2H07GP/z+lF0BafwTuwIeCfwNvg8qsFLB
8p6yK1n2hOU+AR+Zm2aCqDmBhVBiUXi0lGhW541Ma6OnwRTZmXfSuZg68I5HObjwIuoaAVF2IqL7
IIE69XFTjOl4EVqepTrgpiVGp75F6rhxuM5DzQghpYUZBaIx7psl020FpGpdENnlGzmznEcNyq04
Y3U/oggIZWB1Z5DnunLBjLUVwEOjYcplrqcA21oLitmk+9IWTvu+oGeMZ8HXJTBb+/IjKjXncj5j
fZh+LXJD84hWZB6iWlQNfF7FklGzsQD3X6hUNhsWuKwCdjFWS5QnJDcRHfOwi2cxOXAWuRyddhDc
6JoOwoqVQKaxUdAWYt6wmpWXoSzIOcuYxSuXlimEXBdeZVjxS5s6ddMkJOyifube6Kzrh0LP3mNx
mRD4ys8pbh3XORun6mwmZVgdj0NRDrq2JJGx54ipI6A1s31Pl1y4eGmWkawKuYR9JBuplhUasiTT
Offqk7U9xe+5zfxyxvPOn4YiURNgGJRNrU3vl+OyTdr+ou8TVB6R3CunG0GKEyLo5LTtx+myThPl
122oshGIw1Qnn2yWD2w9hkFWbSCqdRQcR5vTVWv69ls31xbrpVXyOhN1kkWIzOzTWHH3BRkX8BUu
C3foVdu0UdbU6rpPrO3ifDRjf9gtBR8jhCvLdK14hbRSaXeScx6MGgs/83WXCzlHBTN9qdEsBqkh
waAymjAs65D3AjhR1/p+42wQ3GRb8qin0ZgTnPTZu8CZ/jsck/joTNoUOusxIlHpVNPoMlfmvR9t
bWCDinZdlniiUbB0XaDFQuhnYqcC64KhCuL6zPk7z4acaPDvKI1MVi7AcEsRBjohY0+0m6rpcqqh
dTWaWl9fExdAcqKoA++/CL68bUvBYW0Ym2pNqFW1LuthKSIaou42I1VynYxVfSEpw98MWvJy3ad2
GrWXbT3EYkh4AT/N+FWB5bcaeUS6wwQlvtFmDqnVfqqXKxbw5mKg3Ke6bbtp0cVglYsRsLdQq6y1
i86Iye0xcR3ttUHEmijlPR01SsYZaWIWvFyWRZpcVyNmQCsqS+oTrnzawK1bNf37OiUsi2UCwVUP
jhRvcM7Ju2RuilMcLC6Js65AN207kGWdGgH5Rz/k6jKH9OGtEy68tFKWtR4aLM2RLamzR9lYVhdt
aVEBEYskDExO5k0UOpXekn6GZIl3rUIwOC4k6ls1V5pTO6ZRMk3lxzFLsxBcWbb4j7kt0y8+3+IT
lrlhenZYoVjMI7i+yZQE61JMttQZVS04KZy2Z6HKq4+IwLetEpnPn5Z5pNnFUPWdgPtQ+OJdN7Eu
iSkKRBEnakk3jGTteCjglLVbpZ2YyhXPx26OfGtZGtOgrMCgWtEhXRtWGh0mVdrrwsuQ6CD0tIlZ
jasqboY8Q2vIgDOvU1tsry40gY0DZocWrncwZ31AKNMWi7DQeFFNAqkITcR6lsHwJUDSfqlYS7we
x6AZdAAJ3hi7CUiFLr2ac/iZukkL2YuLsq/Hb71y3UkD2Uqp05DXThdzMzVxLxh9BzfshFdzUpWh
ThnLxpWZW1HGhgN7jxswuFpTurgxSpindTQLlY8rCdQ6u0gylB11hS8WvRCZvjNtNTg9JYtf16QF
n9wygEAB6waGmLZ9dZYsorYnrirzCrhknvoVgxjkdbHwvFqrpHLhSiRV/dWoFm4Kb9Kpjlwbynd9
EiSL5o3IRFw6iHdwW0/mizHI+AhSPqTiEEztA2PC9XpJqD1OKoL7VZEqnkcpaxKnwZsipCFm+E7P
LeFKu6ACYjfhMmjjMrWm1zYn1SfTZ0kdS4c41i38mCM0oeYTMTYMgKUWcPMNBtUZ5FAV/5K5rEij
0iYm7kS+QCqFm6zRcN6O3UyhQa2GWJ9/UTwRqD5iY8/H8VMiKjBoLbIO34yuqs/9sphCE7zII94X
1XCYGFJ8zydSnvNJ8I8kMMuX0pPuOgvAF0azteIG9z5I9GwR+jTZPJw17Tv7naU8OwTibE9KvCxf
DSb+LExwa3WWWBrqps07G7dtaQqQWyx+N7sFfxY8TzOg8rYI9QizL5OWjlazkCzvChMs34vADcdY
ghuIOgN6zQhc3EcgcoQXjFRmBiaNMNdDR9pMozazkL5mAz7iXsI948dCgGsEo4Fsyo8DBUMZxIci
DVARFV0iB10mzLVrlqeNj9nUbWkqL9BZVrbZdT8FhdJT21AW8bKc1dsUWHQZ9QZE//MeHkWURkGq
xhm0lLyuQgwxfjD0qgiRy2Di4rA/GUlaTW+WpYKsWhMxenWahngoTkUaDJBSgwNN6g+iNK6IR5Uz
uAcKOSUbXwQdGnWYVggfzQEv0dtubhWOJOvKKoaze2EdF4I2Z8q2qjypQcrqQN7J8bVU6Tje4HlO
W0jzkjKIwQNX4JnK0Jt4HouEbmfOS1TOGf2WlkE+RhTNVZ+AK2KJi1tvkiReJoeSo97PPvssFhew
VR/0df7BzUNt4zLJUb5JzJgKA9oYIjiq+AwbEzoyA+xLPyRfIVXr6QqNdcg21lslrR7CcmAKHFcZ
tvW643xAt20BbkwHcKgNHYJaEYxLPIScuVFzVTF1GhqXzN9dOKHivAcH0a0drVR3ZorUdmcJKvLw
KAsLvPBVBdxiGuMF1ahcZ2Pj5Ula5DSN2JLa9JQMrEy/2S7owjhzEwKY7pJHwxJYKMl8MoI64Bmd
9E9SRh6iJeqATgf/XykjXYTBn/6bZDEnbSu/hCPGl/cpYqV88h15RcVhDZn6DF6imImuEoRyTRa4
mWM3VN6tVTtIt6lLECmOYM8LH80IhIJIdHnrLnJwPOVJlhN/GwCNPlNTIr/KekZyjdVcmDXu+p4c
UjWE82qsTU2iReJkiSwXKY+XRRoFmzbY80b1AchbHqMmArEmTU8DuLAykgHFs1ZAtSfdNbL9Bj7B
+DUfegW3OkaGRSkdB3XhpAczx6qkdsWAdrTA1nwKqkVCWg9KiULfW4oKYPChqYF/F0tLV8KTlmhb
Z0USCyxBazXz4MpDIAis0y2fwN6SkIPXayBufmShCeGflLUfLAM2vfazdDzqxpH1UZXgSawaafJ3
TTdn32si8iIqB+ErkKjYfOKapGo1aEvcxbaWLIWHwfTe6r4VY6i7sBLqGGcpbHEnUfY5wI1sIi/S
AkWOdnkV1dwXQFXaAmVvqO9Sf1Rzayagt7O3J2ws21zPWTLbaBlB4NuEkMrLqKjzhenB+6I+a6dO
ZNqWqiUnRWhBLUtpF2SrwcvBgBSFxyAOEKCgZSYKvmJ2UVlUwIeVMfJtlkSOdQUIQM1c+yjdSoDx
mGfjrFEfjtdDsJTAovvM3qaNKcNVm9Rt/q2BdH7u4jYNILmYe9Ms8SJwb5eotXJQPqKpE12h7eD8
1OqFywYPoOi5kJex5Cnhia4nGiSreaYOFMCilvJCgc9Pjpfa5d05yIdT/lnycfJJVHcUBKqoA/LP
PgD1zCkQhK7ZChJ/Xxk4e3z6264McJfg/qER/B/VD3YKhjv6wX2xhkPq/Z+LNX9+yNuTOs926r2c
ALU1JUEtkBia1uAs/vZszr2cIA8w9FFB/zQcNUaEQDPvDzlBHMAAhqfLQQElDKnYftxDsQZa5wlF
UFFV8IGMSEn/jpwAB2N35YTtQ7oIPKZLQnFw+1A7Cst7KidQW+RZWLMI0mh5hCr1wUDBXS/U1Cvc
dlmsPA/fEBuAMD4XbiNEJVcVhnwLeZxr552PAtH2h2FCaMSbpXtrOlnreg7yt8vCvG6kTHUl6k2e
D2btm2Jet6NZV9S5w7bJzjtaXxoD4kMKTWdxEjgg64u85rBrG+cN1D4qE0PKg46mpCBnsyvWS+Kq
dyzIyVuL+pN6btkRcjw/a6CVfZ3mMoOEr9+gIV2PY3kSzDkk/4EEQR6uAi0gaRbyeDbHUubZSWeb
jQU54rQK8pjS4abv5+wzL/N1TyqhoRhUaxXwk4UnKCKmMpCJpMtaoW494OELxIpN3rWHXY8aLdou
jWyz3CR5kMZhxY5nkFN1HdBqVQGX/+xLVH0psll9wSSFso4MoSgDYRwInllT3rq4KUdzljGzwNcU
a0EXCswWdasyHCC/4OztrIhdozq/GcLuc5gW48aH/duwAWFCJWkSA1PceJqqFQuXNEqXaz4Hq6Vh
sCcFu1Gk+DQBybk1wdxEtM7IOnDzW7qY9rBsS64FASKHa3aDyJS/lQ0nK1rLMG5wZnVLew5cj8+a
2K5bJQOr1sE4zzcoTeVXxTq79rgdv/AmbePOoT5G3GFYkrRnLR6nk1rgLy1mICQvtgBmGWKeaVKI
s8CkN7kBjjT0fNHU9+351LWLlml5E87M3Gz/YVJrV62EPLr2XXs0BX1+Gg75BGUzCRsyt7P5uqC8
Pm1aQTRr6/RQZE0YW9nZN00613opjHA6m7MsLrxjnxqXZpceSjLHNWPFamC+jwUbgg2rGD/pUMI+
hW24bDBOxveLKMb32QKOWJdNptK4b0egqmLKvxfh4lZ1rZZNuBhzzoydVmQO+81QTiAOpATlJ9O0
vOlK0m2g+Bi87ZdiOk5Y2kAQGKcCrqBr1mhKQJQCVe/NIGixFYXCtSgnn+kywG8hxvQaNBh0Yz35
lhaB0hg2+dvYWaqlIyAhhAUpVmFQk00Jpf5VZ32zNuMSrPqsCU5a25KNr+cm0DbN7Koqk+QUiyY9
tgNoES2dL0iTgD5gO8gY5jw8qwfGTgLRqS+LMun72cAhuGhIfLfpkqGKMgFKfKO2LLdIIFpO7+sh
69Zc1uRjOwT4JJEhJHY8bD6TGa48baiD6gn9QvnUruq0SDaS5HJl52xYKwz20g28ulSmv1LE1Yey
Ve5NNvL8WEI9dt0NfQMEOGziUfTlUVWmSQrpBmxtka4s1LrXW/3/fQL1Vb3UJY+sabJLRM10zGgC
zC6VotvAkRZ7VokZ0ovGTet6GMOYTqNf0aZRpwgyincdfPKxz8ZijQOUH4G2kKwohNezKkVixQpI
iggK+hNM6/ZDZbaWnPn5C1Ul+dR1zl6OQ83W7VQPRrdOANMmTqzAe83rUWGgYxX84Hi6UWKaDn1J
whizHh8FPSWXiwj607ycu2MI6+q6y8FQFcIe9IZs5Wq5Zn4GHdZfznV1ndfTDElv8QkN4QnN0/MU
fCFPrrP57VQUuoH0DPbffSBsuGKdkhGUxM9FR3TusyoiQydWnNTvPA7EySKqczzVt4uHFE+OkMcs
rlZH1CK2tk3QXdPBnvx9CvFayQEEyr8gB/cP1NztbHrKD2D2Q7mBHkgSYgrt7HDOCrraH+kBnL+C
5y9C/QFRfFdRgCmPvRwIHg0Ybo8nMIXhGbsYagAP9EAeQA8HRHkOJ+hICO0Xf6+Xg+7TAzhBBM+t
o/CsTnhcGhAP6IJ8Sg9QBUX4uaKHIFwX4JuyuVwNfYuOaT6p9wrLcRMsy3IM6SY7kS5LbrtAqvPa
4+ZtC7EeSszO+VVdTcOl5eNwYku+nN/rmKDrg/o1SBZ1lW/eg5sYVk70xWGGcZmt+m6Qccrb6oPv
F7Yp6jb4mnRsKOJ7ibNEPgyPBCi766Ke+WZucXLRpTI5Tt1cXiw4G9HhpAb+FZ4kjN55NAUybrkp
6fdkKStoy5Bld2gTnDdQMQ6m4zv9c3EQsIfK2JVoFwg3AMF01GPZR2lo0qMycBZSdFDelioQKCqD
gXwLUdPdzjhVlxBy1EcQb0Be+y/yzq05Tlz9+p9I/0IgAboF+uRuH2LHiZMbKokTSYiDEAcBn/5d
7cxkDrv2rpr3cu+quZgapz2OuxHPs9ZvLdqg65rdUPq0SLbW3IHalnqHSSPNh0YPl3QbzU3jV7dm
bZT4Hwwy5flPemlLpfzucSezGY6B5RuT66kLFv1jE3p53bauege9iB1XZrsdr6foKzYZ+MJvGuqy
8Ebtw7WE/tYGXO7ZnNI7J6y9SeU65V0X0TtmGnfr1iQ8UiHpUwBiZMl1m4Rl4Vox7AKAJZ8AYoQK
4+CieMZr1twJSFPP47xVj0HAdyWWvz6/9umdjI36goMyMFmKW1WWxMQ0ex/3+L/Hzp+46dl9F6YQ
CAZ8SIqEdQZqysiWQy2Jna6Glj3otJYfem8hQkSRelrrwe8ci1iXYWPqd2JprMqmOCEfTUvIjFFx
/jQlg3jl/RR9CjFIYpFr+bBkPQvIN5vU4YEZ3EE26yicoLb1cGocHTOYPdN7FjhskLExuDtCDnn3
U9Od6s1li8O4XNSJc58EfNqd48K1WWei5FOfeAhDpJ4/paIkTz+l3i6dts+idhTGAxNPtkPvaubT
qz+s5vY9HMIazkjppqd6sa0+/aH7QlPRl5phSBKRhV4FP6PfWxkuH8Rg42PMe3/5qQQ7UBoFoBr/
GZZHn8+xDiFyMX8Tt5G/RFNIdks3XzT+GufeLuPxpz5s6n7YV12Lvw615hAtYf8aV77Ponj5gnkg
yUCH3bXpJO7rhWGuWMsYyM4qF/mFEN2/LpF5jhrltkz4rVqyaJu1zYgX3bRfCAib3trhsOggSk4j
JpTC9W3fHg3MJfbQSdijWUJU8BivG+8uenbk2Iuy3zcrictvaWkJzUusz+egsZDAG1AP2633g64h
CUzuCaJEYu7HWTAC+WyL3oXrIMssaObhltDFvk/GyaV5tZbRng2wnUbmmw9bTx/GYepxbCl+57zF
V2VE46Uoldjq0wryo8mmbTVlPk8ENAqr1sRl4eyj3Cs+7hs2L+QGzIoE3KVEfwftGfplww39xH3v
2jyyyZi+W5zov/IEb7CDJ6QLCTVj2cG4CA40kB66Shf4fTm34wiAoYFlAwU3LfssTMeKFSP+Mt2F
Kqwa07LVoEo8Nqpt6OqzFrKlT5v3qy0a3vy4QkNfNZumHwBDJnejtWnTO8NiUnRjqbddJfumhn4R
zduFB4mTO4vj9QAz18JAmiCl7CbXTuTgwBGcIhy//D1pRzkVYTS2WVWCT8hZWw3Q27Eg4XBNDASU
XsCRycYwvd4FYPPMOzBiSfCwrNdjtQ00fmkZBY/0bSwDeWZKVUVTDfPHRaWa3uEQIncN3IxLD9Ql
LZiETQUxqKLwKpg9J2nPb2cgNzvtmL0sI+mxfpZTtS/FmqicYkgqcxPxkgC8qZbnag34p0g3HoiO
tBiMeDesRQWj5SPmHPrZAzLcwx3sIKaHvsVHyqdlDmCS7Xis4Q4AqUhMFkA2+wLtlBflYpbPFJoK
5sBWP5VVCUgxGO071ia9LFyZdpmPAnfGaB4VUyqXj/87s1DwH2eh36uR//00hNf/nIZSzDzIZPyU
Q9Cne8UyfldLGCYaRDUY5RzF4ckfaglKUQDXAl1GIw3FH8EI9UssYVBcUHJIGXgOjn/9J2LJNS9l
/wK2ojQWpTcQZUBx4Ce4Dkt/AlsJ2abJMhAOiFv53dpvBOSk7VicWVgM6dNcltN2TyMLzmCeaWpx
Ai7DGfPKdJkXUKQ/8YnWRMF9lDox5+NAyDnt1tEClVPBEyw8VZ2mCNfiCVdv9L2eAW1mdHZg8oYr
mwQnt1yOoiuX+2iy9ZCzdXS0IG6bbxoVgZEI+NSJQgZ9+Z1xH71LbdjTbFJx+oDxCXdSNU0we7wE
W5L1CV/OMZ0iWG/GJCOuC2iMWcxkOB9H03X7MmQUVmDt3Idyamt9veDSOIvLdv6aNJVb8kG5pct0
XbV3dUBtlAVyncF9NZB0M/jHZQPrA1wjDIv+qBT1Z94ROhQ8Wq3OqoRZDwmWji4fCfyQbOpw786S
JoCClEggdanXNTw8OclDbVdJchtL+NGQtIa0GHXrbxNugxBoFWQi4FRDyzPAW4wVnVUL5rW0fhhW
oLRwafz8g5XB8OO//+K91jrA9v6Pl277VpL9rxfur9f+LnJGABy4SCEn0mvkA1fOz8sWNQT4EjKh
1+smjHAd/tpi0PIBHRPfiaZogrtWXf66bjl2IopvlgqsN+hvYf/ksqXJ35ApSKxYXBDoTt4KNd+a
nf983Vb10mCK4HlTH/mgYUUIJueC8LH/Hre1PJRrIJ77GgN5OHnysCmrchFV79pWrZm18Xu20Kvw
F1cqZwrOC4h5zHYWkE9Wbe5Ztu2a96p3N3W1dqCrUjGcsfcAE4omQEFwOmZ12KYmuFMkSJ+6GdcV
gTNIM6uS5h546w/Y0eprUgXmUwtzM68bE543uyanqCbbsaS02g2iH3a6xtxWvWk6V3XHwn3eqWQO
jxYI0y4KutlmXuPHW9o0+CoVCC6v+Vc5D9t3hqcL7OFfx+/p0oU7IQOwH/UWLJexioPzKqQ8BXyJ
9kk3DxfoPGMxclHlkwj6vDdm2YHJkU9sXbsdJJxWZc7EILRhoO+61tJjNBDxHDSMvbjKdkXI5wnw
jBuzoBVQZdNOSYn7dzvcSyqmew1C597Ytntqk5p9w/F2P6Yp2E2Y+UdjnQDFBogb2gOc59kMMksc
aKK+4ewyaQamGdgj1GRYPrV34Uk1rnmRcVjuYKSUhRgXvm/E4i4+6Blmcd/lcWlak7Vymk8pn5Nj
yhp+4+Im+lClMTuH0To8O7+xL6qdgEv1JjrEpVffFjilPKNVrG5CkAFFv6n1rLrY+iwx3XYbpaUp
M044VLgUp9sOTmq/CxqftMUAUvjQGQsnMCnZTatqtd56NY9nAyz0xSWy/xovEFQhAUqylTT3Fnoi
nUe1myprTlbr5jRjI3wXzJN8ghZGTJFCi5NZpLbxPu03u1ebSo+T76uC6w7k9Urks9YgAkznJnwC
N/5REK+P4+q7YkZe6EiTbrqnfRIe+nEZz0ldu9dwIeRm43J6xUk7tNjP+mUftxM/OpTfP65UEezM
JnwMuno8usT0N24RcJgIDLscvqrQ2X//0fpb2ueajPn3GtHfusb/BKP+tJ+ur/55vL4VBYcRTi+4
8xwnKfJZP49XpFSv1ytOcuyPAuzQn6ciTCgxxz/gT9EEHeBLv8Yi/Kf/byQV09m/zEXgZUOYyAzO
FOykayDoT3PRLyQ1CHpIqMlWh/CsSQMxfR2GFsqnSHEqzSFF/mab1vF9BNOaZKBV2ZbRhlfrXrYN
+wQb1H8Ek2F/uLKec8QGpkMK7IHnFKzibUNXag4jbIow0zoGTFrPjcVzkTCpYaefp23Hqrk54BA3
/NHGiLxkCAqNwa5KkumZzf14t2kPngbOP+BNv6Q9zCakatxui4LtWyvi7tLXNB5zStLmmPQLDHYd
IReTLyZSTRGtq90ybZn4IumU4nxfNYTwMkEwZbeNndzjf9I/kwkUJvBP9yIIAbthmzZcgKGu2FRB
T2GHKZcN6CC2oOHGY2wbszoV6ovvW9gsYIvm16azpoIdM2Iy00E1v9SDcN/aMRJLsagufDIaOa9s
MkMA6T2KkJ6SUG1mrJQlMMBrdOmHMq65S6o4+h6q5V7VmC13YdyAfxRyDH1WzsOostJE0Qd1zQBk
abiJLedOyh22YqKeEeNy1W6lbu7P4STkcGkVT/ewZtLoBdZZExZ0VnO44xIxliFyAfmyAdP5hndD
p7uVLXo8zox8MtK541pfcGR5CmzlMppFFf87JwUuzv90UlwfgfGvU9jvxwxe/JuYTPHwivBa6Y6L
Ealpgenu50GR/h9M6BDjlkCdOAB2gWHrdzUZXaxhcC1UgdHM8OSFP8xmgTYPSL9ChDEgUZwz/2h/
wjD414MCA10MCh7VRzi0IhZdi3f+fFDUemXY4PwhhXGyZhIE0Us3xexZDgmSZ8igPaI4iUfHyM7q
tAyIidyB/wOyiQFv+qzhlPKbxsBvB0Vc1e0JoJXzWQjsOTxY44LuuEhKmkPqBnxVU1aVu4qycMJ+
0Uz5Bs42vGviQKU5AiPlfIPP/5wchi00zQ4zAXjsagCrU/UASaBQ8m7N1cTwmWY0yPtQACY3WoCN
UVsSHDzmwvDIOixMtOddh6VI+7hY03QuH+Y5EjW4YMCFh17IGFBqNIANpCkS06A+hf88OQEVa6v9
eGatmyHMAAyBKwpkbDfYfkmPi7DVSSXL5nOylB4sbe+35n0wtTGgd+xTcTYnPp4LDcIlyko++QNi
NWXwgTaJQ14OsDru7nw9xB7BlBxo+3iPeIE7GQ+p8Wa0vXPgR429aWg8PFpL7CVxei33myoXtqO8
Xz6uoWV0xyDvPVWNr67Q1AiBuBph5QnWJe2uLWdRgrIJyjOvKH8IAL+RBwOq99MqDTjKBNFORCzZ
1BWtcK7MtFLyC1c9a7MBv/kvwdZD4QlCcK8QHtmUHEsQRbCXSb335bgiuhNQhbROol3WRUP5uoW9
e2n0XG+71VXJZcRiCY5u3ooxRar1gWICAo+KTMIXCGO+mKM2shlyAXK7aS1J7pYkrL8SELXmFK8k
6YtmMxK/o2HubnpGG5tt0Mh0XodBmkO1gPBZJb2estlP18My3jZSRJ2YgmzhtVnPbSlJhRuaJeOe
URczvOUhznkGsjhfug6fxniNxTsIxO0XoYHqPvF+9QP8fGmDDylJug+hAbagymjbMklp9xC123Rj
bJy8Ij8KuXJF5u05lm61u2qhVu8Y0iphbjH4ndqhwsA94XcEuEqW8yM0MYCRCZ/gR1wVTpz+gM1i
7EAvVYy7nGnDMoKxmIy5bax+6d3Qf+lhB3S57a5ZB5j2IIs7rdr9ArNCZCZGxCRfkFv6MDaQFODH
x1iSII2AGzNiaR9mh5vaue1TKA21T8cDWwSA9O5KG89JLe4IrvPnxM3lqYvHtvCdik+Q6LrcpHV8
N7PePZJqFj9aIsquCNiIm6FQkckEris4DB0UYp0aWeV8q8rbquu3fMST5grEDiyOhBXQ4joGr6lm
+l09DD4+TbqWTRZUaqSXaYQuD3WevZYSLkoxbotkQKtq1Wa9V/ZmkOxVLc2d01F0lshJ7sLI1k/h
GiMakyKdcpcIALtFa5q2ywJnu67YugT3zBBvNrx1JB3PU4tES9YgG/wBhzINszUcoJZqvZKs0cH8
yJC3nA4maAi55/B0tlyWsayeIs/VRyNccHUoQrjIIdaPXAgy8xPHe/8RgYxY5uEwirsZeOFwBOvi
4BmsNYIUQFGzKtq+W++4OwQ6CH44WP+Pm4/bCyFiw45SJ0tYKNnal3KrJE6COm7PFk9EmrHDrjHO
U+VDtY+SNdCH2HY9roh6OJJFHS0upDgngljwHdftMTdyEkfQBOR76jaELuQ4umcOqn5XG11+XEdc
+O8JvgFAoE4HYyGqKZ7O5TBODJi0HE2GDcz1mVzFzULAy50Qtw0BJzQSOSWVTAjchmbtPZaxBuQi
A7FU55okSBqJeuj7rC2pDLPB0u1Gbd30rALWkx1bU+8y5RV8///+MQMTMHaD/yjTYgX8o532j2Xk
1yt/mzDe0nEYFtBwiLzCW33RzwkDfjW/zhC4wePJMgwlh39MGPC4r8QaWLMYlTvRn9Jxb4/bwsSC
/STi+Gr8T5QeBAL+PmDQGL19MFFDfC0W7G8DBkVyNBIuPo2IDLV5ffVpphaJnAxhAneHE1gledPr
jdz4AIf0VNMo7xKTOlDurJ1z0MkoJ0CuGGl38WYSsXRLloIkM4F5pOEjLeEKR8lGD9PVY4Li4ZG8
gLMUbXZIc9yz7HvT1cMtfbOo1Eiid1bD/si2Dfz0/VLH8LPerK36zeba3iwvcXW/kjcjrH4zxdap
dvt42shRo1Chu6RX/8wjwZbixoOZ5IH0q2uPyvqgqKOKJyc9IYzlr27cEAMz2XW9slByyzj+CNuH
2FxSaR6D1GAymsSWOUvY/fLm9MWDCOWOM426htD1d7xLaQGBLnMQXXch6w+VSqtzIPpCa4Lo2hCX
mam28NFsM6CSjd0HNXzokFK5v8YOTtqjmSAat2KokimvNKKsjML9GktRTC3MpW5EdopAIlcYGi/I
ydSX3pJnNAwcGg5zseX0dpgmuoc5fMIdA4NcYIowBH7bpas6pnwAgNQg94Bjmp9aJBx2cHABRY+Y
uub2hMz/l3QiN4PyiITbFUCa/1DxQJxDbCZB04MlM+09yKczBXWGhXU+qK4+zSR1xTBsTdEMDAsf
4g3a6OUFE8N6r5WbT02SghAE312iD6Dmn98SM1TX5hWMsP7a05Hsx3nluZ+2+Tw5Jx8rwtW7tOYI
Nm94KgI5SzDl6wVkMMBHBdfcZW2icUQnzZLZljRN/ucMDfx4Q/dlG7tTHbZj8q8ZGsRx2kOg2uYz
CSAGiqvO73yP0IEf+YGPfqgwciHtTio9vgTamOewMvW5InbAKe7teMHfqn6YF0PAMDsOKqJJVrh9
K8iQ/ToJYABpIBHtWsyIC8rEVXPrAD8FWY8VmsIcA7eOUGEXZ/0GSy3r07gt1pK6l7gGG5o6tRzj
uiXfp8lNjzApkI2X2l5gyy4RVs9pPmKCH3Iu+VTUasRvwgdDlE/DgM/g2IXn1tP2EQn/6RLYZikQ
/6kKYBbmWIayfipJVesCfjW5M8oO7yN0LRS810uecpniJtW46Lc8Dw/c07Zs+grlDQ/4EIHvhCEO
/B235xC+TjYMc7ILVoP72BKrPapWhu/RtCKsVC/ipWpq9loxNrlb1FOYRO3pwLB7A/dDUuB9gIl8
QGaKrPE5Fmm/HzWKLNBfwUCrHdBFYW5WgFjI4hrxUrJZ5VFdJzm65KtcNEhoARaOMoXIxhcQ9/uo
e6+bkZ17iiKM2oTuXjbdul/AlmMRf9J+vAEldgjluKv0VDThAMLGHUcGJXhp9B0xSXts3MB3m0xc
viEHe2dZMt2Wut4KUo9PeOe3RwysBjtO7cDGAxmcZpd8b9UgbiyT1ZGX63t2hfmpgm8NaHh6jQFT
PBg19Tez0zuftnetn9j7ufLqRyDn9btf6qSATow0v4ApvK1Kvhs6YP2VTsJL2ZL1CwryoB6uCLQe
ez9WO5hItgCUgaRE30YnHJ9AbVrMTykONYC/rdLwh4bw/Yb0VA7WyB7Skqr96lh8oTrlz3LZ7C1y
vWK3bp5/LEPS7zl778VNM8kHRZFK0bZPdmKqH0gdjvcJ1ih8E6UgTggElXzgC8Oj5l1cz/zOj6A1
MXKCEsZbgwVqLo9xZ+Q97mnX+aee5twkEQjMKZEfnUjdcd7IXCAGwt6xtfX7tyhVt7FtRciUbk/V
TM0OQk99iGYRQD4Pg/JZW0tzt6xi3+NjdmDYUvbTJs0paiS5Cd2y3ETtaHJqZCExK4sxUTvl4waH
HmM5VQacQjrG9zQm3YG0wTsN5TZTgAynCkOWV/o4mOoAtOG+quX7Ri63pJzn8zaFzSXFan3QFKPe
uMCUkMug9jYQFuUVabVL2DjtExKAqUFCcId4GC50siFWl2C5OgJ0rfJUzSvoKoCYk6w+yJKLPKmG
5DlZ7Q3juIhFuxYjKR1cdHn9KPJQYoTeYrv3w9AY3HPJQPN2rpJz41xcwmQFDnunPRbZouOydNng
15kU+IhRsBZLc6pabcRJq5LrD7Rn22EqkdPK517OO451+NAjaJZXfhkuGKXTUzCv22Xmi+/eLwnR
zU4JV8eZtBDDQFSuUBED5C3GJ4kc+GtDy/FdjKjp4zTKEYzDGPRN7iuEsoBSj2j3MZOd/XHbsGMU
cTVFX9IqTW8xpNYZG3nyHWlfqfKtwrVwhzA+7i3CxCrHJoCNRbhoOE1WlEHGe9tSDCcK90fI7yUU
9QF+BYsU5tqmURvPLDUc0ZuqiT7N8Njcvh7WxuzDDp+DI0gM+aVLFvixRAtaGJzWHThtPSL8mqbn
BerPESRhqjOwsMjpUT08ULe9EmOeehXPIMFXpr4GaJgYscQj7HPA5yl9rAOpjlBCOtxQ9WaLdUlc
kpUsaM1exCNE3qYKQGtYWReIyrDCY099Xy5Dw8/dmHRfygbWR7bACQPeZes7VNdECLjUwHZRlAOA
xyszgdUFxlHWXXUMPVuPgRzJR4yM5kiEVx88S4aP4aaxWbZOI221ga3eYH+PPho/BCsWpcoGgGig
g4wH3SCFxNcheq1G7PVrx3Ebxp95DoyZbgBe4cPJ2fZVyOVIkL7e224ct/8lz+I/GsJ/ebzmH0vC
70IkXvu7Y5HEkPgQMUI7BB5TTX8ZwniqdZLgyXrQemJAocCmf60JeGoYuAqohojXR2gkA63xu2PB
/y+g+KNoGYyxY+ABOP8o9UL51ZH4K8kRh6hAY7CdEX2D9/xXITJCFndgPSp7BtrcRVetPIQZ4bMu
9OOcYSoBszW+SesGVQ1IF18Vd7fRcinMVYfHVjm/8Ddxvn4T6hEfnV871H11yOEO+sv8JupbnIrD
TfUm9kdDTbAfXz2A0aA1KCvfrIGNji+bSWEXbDrun1s2yb34aSf0MawFfEhhMyA+XX7RcajoTrfl
eJEhSZK8tDSAM+EEwqC0isylmxnkGuWkbQ/IX5a3BDl4GNdAH1W+DOGW7uhqgBiuPEqnDKQNsn0b
3l3QmzPBAE3S4KarapSSNc1c4cidcNPbBSUEoNzPOFwOJd+MO4yG9O84mm8Rsx6AjO5DWS34NcE0
fAl9h/meIgVK92vYXUPh7TRg1UCnBs1DMtrvck1mlzft6vErL1e6QylcAAietwu8215/AggvAJaA
aBNZ3DbTMUCQdIGohZoJjHwGmbY+Rghzh2hktO1SqYXPW4NM/66eajJlA19feg5g5wQ7HZqmmgxi
TfiRWnWw3UpsQdYRcV+WoOdnNvaHH3oNHcdfwTeY8n10N0psQQhKK5sPVRuckqvL84Kfxj8OJty+
wUmJzgtwuw304NB+kkNIb6FJDlu+je7KBhI1v++RH6myWYr4yV7dFIhENvkUKDGeJKTvs1owLB5g
oSWvVRl87cq66XYuRqVPZFCcV/SIGvf5tkYJRFQy9l9bLWqbVXHFb+uEGVSCoLTm84qerwT1QSXT
yDXE9Ifh0xCB299Ee4yH5JqKFGKikPxs+VSnW9gdek3SMXdK4YtIN2BPjROInsKw7vQzZLh2G25Y
nLcJoo/bUsGz8xTTLqs0MTDQgXnmJhiRaJVv/pG4WknizVVK3xwm+uY2yTfnicKDiq9m1H+/HPP7
eYmz79+7Pru3BwL/e9cHL/552OKBE+hkh/WKR38lCapFftnDCZ5zlCJbkIKOgzqa/GH6xNenh2DZ
xX+8Av4oDf/TWQsj9yr7AOVJUHfE/1GEALbyX89a0Ddwm1GLEAsc6ogR/80djpHdQS7dFVaTH36K
fO5AkX1QIQozBibVB3XNfbVppC44rL+RTj/HLr6VIXaWxd9GLUZ1pLOQma4/rlGPApgWQVkUttXt
00x9eyTduNw3bXJwCiYoUaPYlyqFaouaopxE6ecyDKYCLZQfsYHKopF2KdyW3oL6bHYYq9QFnZJg
dFo011QQGCBIyo8MK3gx25gdt6ieiwbRaWyHSu057dB6giWwB1MLlahe6TcQt89r0Af7dam6nJcK
dRLGbHddI6Y7NLNj6dewbcO2f2gG1CLlFUpL9smK+h2KReo5la2EuEL8gQQUU9GKn2QGY32EVLAU
U8J6xJ5rn2/D+qWkUVXArV0KHLZ6PwOse0IXTpp3xMQHQPDBWfCyOXlmp1OZRNsBwYJh300Dv6Bl
BnnA2VZf45pH0xXoR+JpEfxz33RLMYyEFMZJ/pQYkSAK4NtbLfj8LoiA4nUcUYUt7tpHi54n5K46
euh4UIwsfOm1AJqC6sCtfR0Ty1AtaR6alKD6BCk47Payz4iuHSCiIchonQIwRBZcRV+Ns0u+RWzA
4c/wzeqIHCMHw8jHGnnSClElIFqojGsDUqRNbDLcKS6RDmjeTSK5xUr+NVXdV2Wu90AwQGWA7Qgt
mxwvBuAL5cnldgMSjejFPZIBGrKIWYo18Mhx94PKuEXdJ3pqApRHJjdQy9e8bNcmd6NGUmAm1T62
6ffY0A9V3TxtG/++KshSxKPaAoCRzFKdQlwi6lLCGgFST75BPD1No79zSTzvcH18RlL0xYZenLVH
EWQF9CcrUSW6zaHJh7ifjtxZ+2EZ5X2CJs68jKKvnqlPfIw+ITv62MDazWA2EORa2XSMYoPmo5Cq
HEGEF74ue6QpsVd02AjGZkUJZYjaqmQIUPsJV076q8cTp/uRj1833Jv3eHpums1zHZyBGgRnO836
tUON8z7ytDxus6f7Gc1+RVRZsleR6yALTDoPsKbvt3hK86ZpqnfoFRWPPmmGfV/jq7pdl08438Ms
5JzmAD+wFM+lmm6Qoy3XIp3D9OKQwd2joQbdKzBgfQVXT227iJXbPkQHwwPqkfoTug7TrNY+vNsQ
1BC5jVTyuJUcAw/YGFhzY/SYgr7FToFo73nCxcgL2oSo0lM9l++ZGBmKgUDZgM6z5cdq8qhMhal4
LT1s3pY1wA+okIwOeAiJe4b0Gl+GMkHZX4UK5SpDZmO5dVEkdwMquS4M/uuxXSp9M6E99h3BdIpN
qivJCWexyBpFtwdUI9C7teHxXtjV423QMbJDyBSfsVAGRUfn+Wt/TX+OcOS60FXnJIKEmNNrSlRq
vezSa3K0uWZIsYSOO45YqXsLmJq3sKl8C56u1wwqzgj/hNaj7dhfE6rRNavKr6nV6ZpfBX1nduM1
09pd063VNeeKSthv/zN33RB8+L+/6/6tNvxfdpzrq3/edhMUKoM4FwBccfdN0xh3159WCDL6eLI7
oNcQWNQbfPVrx0ENM3RzhvQenm+HEtVrh+BvVBasENgpjOJ2jFg/T0G4/4OiQPwsf73vRgGybwEe
MgHSKwWcFf7NCxnRVMHRzrJfrSzBR1XxDG0TPWJzpsjc4YAFrImisAkf4QVRH3DhralvmtBDN28N
kvs6HCCglujK0lEZZrzS9JMJEMrBHTJZbmbw2G1eAmNHZ1+w0u8GPbhPAiUde7nh364xuUuMLPeh
iYLk2M+LvEUcD32AaoqjnXIiOadtyh5EyZCmVmEF2BzJGX0US1JBnJlClvuBmiWnYDb27Sr0Dbo+
GdzLPkJLrECB7yd00LG7fglquW+68TVIAYtnI3Y+e1gb2lVZ2zNhchGo5pSYGf1cCMUVlUiCYVcS
pi/oY0IrnQGIvJeGVbdwisoHtGt0AhK81l9sM82fx3a0JueNKb+tyvSvEqrMjxHFKcDHalSBYJHC
ROKTE5Cc6Z1ErUiUwx5CcxuSd2URDCO/oLZ0PDJsks0Z5Hr0gLNR3ZbwMshBkJX3RzIv6KRNg17r
j8P/I+9Mltw22iz6Kv0CcABIAAlsSYBjzZNKtUFIKgnzPOPp+ySlX7YVoY5wdK/aS7tEsiSSmd9w
77m9cD4PlhN9NiZ4OTBcK5PjzsH/RUfXMSfuG0QFnMjai5Euw3Et4MUEwhDRF5Oj8sbNpuToVX35
WJm4F5MqpZwYeM8D7GVpXW/6WrrZPgGW7G1TI+8eCimLb4nEvHCda/HwNTE9JV0zoC0Eg5Z1t+xV
x+2kKWeTYXrXVWatV0Jo2p7tnrkwKJ/Z27Db7k/AcOa7NJmKIJmpbdBQ9/0Tp7iAqbyE5S19g/60
QEMtKGXGNf+cNJn7BceVfoXMFH1aNQ2Ox6CKKgDrjtcax9yIEFJ34SAZ+1Z91e+6OBLfFjTaTx4k
uadKA+26ad11itkZmbYbrE2UTNs0r8z7FDfBsAtDqI7gfXP5niE4jndaFqbP42R2cGU626HuYWiw
SdpsfGL1xrxsAd/V+W1lYLWKQ6d/6UYUsD5Ut6ncauYUzttYFPpd2q9Ovh3CpRz3JXbPD/zjYbNH
cmOk23Bibv1RYAR3r5BZYOVOy5UBH7vC9hRqEVSbQa/daocDM4y2GDHDFpf54E5+2VQuWgpnTLe8
cG4B/1tx7jdmFd33cRzeRTPoDD/WIT6cSuQrD3xEgVBonZzfRy13Dwze2y3mpTH0I1qFg6tw0U7O
Bxz73OLcpSlDuWDVpsXcNhfONCLU9NZU8OnEK8JvqQJSj/hux42jMNXiQqzuFbw6FlV9bi0LeqOr
4NZFVK0RmkWQ11yPxdN84WAXq248txI49rLWklHxhZk9XvjZfA+qj3y40pvhwtc2WP43fn/hbk8e
CO7pQuOOLmRuhBqK0n0hdtcK3r1WcR1IBfS2L2zviZ3fvLWctcTNn60Q3OPITgFwSo601AIiBrAJ
VvhY29ErQtbZ8pOUIQEKMrgb+37GIYZ4pzhmJpr2bWqx0siSbrz719ydqrX8/d0ZvP8SKPUXx7t6
5M/ZIHYPhIA0q6j9CCr4z73JlE/nfyshs/2LhIBOVtlKUDGoeZ3rGH+avDCLWGz8WRNzZ9rcrcY/
uTct45fZIPW4rQK2cb17xJi5Sg75V5Fiv9RhiU1om7dmcbIrc71ubRC5m2SSzZVeOdUzZWdxbqYv
zObQA0imyA3LWz7+ER1MY2bXXr404yZEDruwBk3qHX7V8VB1a/8Rf8iIT6OznwdvFKMi5CZ4IkY+
96hy1Rgr9QoDlGTG53LSzGXfXgZdtJETEqgkRm9Qt9NwnhNVlUqzexwis4JuA/briN0clbI7jEYQ
VcNyYCpffKyETaABEk9AF67m+C0TduRrWVYj4lnkrcC/cm6Kxg2KdmGoH9aYY8QEVDq2Owd2ov4Y
GhU1ZlvBuo7W6Ar4f637EduTXdOwHEQp6e0weiI+6ivjGLoTHTca7vRDHcXStwYLhaOmoKq1h4em
nhLjq2et4S5BCN3TzrVy9TH0N69gcBO2i4b3GDs2m8lmqaKOFXDiBXbnhie9zFNvPxTSetWs2EBM
1WTe3TjOyXQz4j1HYGHM2hveF5CZLZ1Su61YQN6Utuftp0ZSuaPlnPdxLAO52uWNTcvNC+QKNhYm
tXc/aFp/zlFDnsrKdpUmOutO66z6VGdiY25qnsMS1ZzHCqOKaHGd0oF8NvQ1eRYthR+YkU6GBBAs
Ybfr1mHd6qkxHBmS62fDU5zEBKQHl4GxMSqrI1+iRB6m4b1TWJSXmF48GO0q3eZ5be50ngdh12Le
hD1aySTkY1HM86HUabVZ7LKvQarQVbWzTwZpIs0r3bPVhfmNY1s5w4xaakeGFOstc+xn2aRX9trg
ei4t54ySHghZXxiBnoQpf9UV7KaVzPswK6AIGt4dZBbk56Nr3pT1EB+qJoluGdVYKCrjFxOT7z7u
rPum0TOgwuyRbHuNGR2Xb6zTaNXjDLzg1B/CSq8/5dG0sgEd0O2BGP4cu3j69JSF69KfluFxSDvn
ManDE65A56huO4jycwaHwYNYnIdFvOlHy3hoNE88DcMqHvD5jXvPtJ2HEl3dHZEA3hWdPiPtjJyK
K7a38YuF5zoDGDC6B2fu7evZyODKLOlXWOyi902ZPLVeZ97Nq25tHSsVDFlCaztPuKBbCTPNzbG4
FN0CrtVBRmlNo31teo3hswRrAtsprs3IzqlWq5oJu6WTNhCbd+aULQehl1gjN3FU1Pi4RzvfFKMn
IDYzUEIBmnzVCq/cRcyaH61+MV/hv8ova2h5TwSvLMAtFwut7vIWFf1xsOrAdWq92kirm29YOeaI
YcfG/ai17rSPOj4WY7GOaB2sIIq7Q2J0b6gnkBHMn2XVBdIDSaX3kfHWQfTY8V3zGdY/9xpj5Sl8
F5hR2SOugR3iiNu4Q+rudNjJ/jKIuxZV9maR1esgE8k/UF8E+YTSUDhttx3bFS2UUX4zAGMFiAuq
bZxq45FN+Qkf2XmEyHeF9sb1B8tUznYYCn11msmQDOCF3tFYnawk/loXtrmFs2+D00fgWExddge/
usT51d90GZqamLH/oU3c86iNZYCW9HHpw2MNmVrv8pd8ocr1ijMlQHPVeUCqdKOlYKrajyQK1H4U
uWJT1cbOzpZAT9edni/3jIfEpmmXnbGC/tfLchvH7rcsd+WDEvP6srFPoZF/mpZmIzqLdcDaY63T
nI6OYjaQcno7esMnWT7LuX/MvM7eeia0v652H4e+eBvyaWdbzQqhYb3Dt7Wb7eQEENIfsug5tUdY
UiFfdRiQNkqJ0WPnaSd7GP/RB7OwN5i15LsmQ54VCSw+ezjPWW3dGFPKliAa5ZvmYOeap/htJNnE
3nTVXDGUdOfsHMspAny09EE2G9oeoVZ4SCiUrqOMYnpLugwiZdfaMelMPmFE7rcNxN0tuM88CCfP
2tV2iNgsBIKaarF7A/Si3DDDhL8WGWsw2yb7ktqm2h6iDEF7PtDehTZJN5UMZheYrZ2uj0UIQqAY
9W2xtP1NmBuLL6w2aFbvYBYaJG7w5X6Uh3HQ4pXcG52AdliMp7JdmNmV07Kn2CVLqO3NB6GV4FB7
24SJMmQejIYs9ddm0j8tyTI9RINrd5tJ6qG27WgrBBPNUYe76yUS52DobavLYifqw+GjFtL3RJ2j
vUFqRABOrXebWoOvJWwzBhZDJzY3yX4hTWj//7/8U+uAS07y74u/Lbd/918PyfhnvvGfw5Ofj/9e
AuIrkYpSBL/IMu2/QI/kH6jJlIvYUvtZcv1YJvywqWAX9phoICMlUVNghPuzAkST6uIAYdoBIQD/
i+P+kwoQjMuvkxPBhNRQK2h8NLruUrr+tQLUJ1DsVkgOUwlXzk8bfKlDZc8wYf5X4QWg5FcdGa5c
Z+6R/214AXkN4FGdpD38XwUYcMo3oHD7AdfL72IMRDvA8okSmYR715imO49lTuTbXdfUPkAniRW3
Mdz4ziqasiYehy3/bb2mbb0HY+Qsm75IAZuTYhS/UOx2jc8xi/rSntxhCjxRevbJm3Sz2FMIrgWL
TwQG6mI1DGzVGokzkXo9kMVdvHUaAH6sLrPe2q5RjPDTlbH+WZiDexyBeEcbSxpzyFZhRe1DOF74
TnHbw+f2hHYFiRoI7di0abpveIoHw167+xR6LQWElrEr7efMBBtM9NQmjKISMJ4Vvk+NJcmtYnaR
+PUYiWqbyJxlikTOhrgvqwGQp87k2PuRBTdeccTzL31JZBQjW6IUsKaMDXFfWoSC0ZuwSpoiXZvd
FOPqxfk7t0y2uARAZyGEeHbcAmx8LwYdmwvWnmu5kD2wqdcVR0PF+I4KK2Yz7Y+F6Tw1Ym3andnk
DClyq2Trj9g0bPeCOLJrU4Z9eiidISFm6sKAaC48iAFO9J2sTSgR+McLb7teCBJmNVFPgCgeKckU
YwIRHLwJu+oRBrSYtcVev3ApbI+3POgv0IoUDMRAvVmlLuulokbX2tEY4IV0WsDsaWqeRz1KIfVe
UkKiJJyczVC3zev//0P2P1thjqPfH7NBlvT/gxWQx34/YumKaaMNxDb02UgAYSj8ZTotXGUMFhbo
OV3nJz/OWPcPbEwmtFroJhymuAF/TqeZdmOKVRJ+YdvshDl+/8F02lDD8b8qcDj7kfngaQYbgSHA
/lWp37EJLqzB2/LxWM5hRhoLhRs5D0YvyiBEVETh55nQBKimIK5IZ9iR/dId40ifXpO+EDeizI17
HMfmZzcav06pxvgvNBd9k/dh/W1hCrWrjLQB00lPAk/zmaqtBY3UWdceY1NiOIyvi6nfjwYbRaT3
wydnsI1grJrlFQ8z2QO9575lQzg75DzZ9X081nDo4pV5LVTlq0hmeqA7C+pobPGxP5nTuHdj+sQQ
H9xrSZ4ZG0IIcdFWeEUJxo0tmVnoK6zqMFhj0PGynm6JWvBYnLbZteOO106xvo+d8Y5dEbRRP1sH
omSao14j3eY7TxWKtj+ohT5tGXY1mGmb/CXNyKxanES7Wr0KT1JWrmygk0yBnDRQaIujHW1jfIdO
Me/6niUZnUjtXPeyhwcxhoJNMUDvk9BY+tlR86lLEiiVnlc/t+1V6sUPYTFYxxDG0kcnd7q3cnbl
jVUXSDo5MaDgdfLejbX+uRgcdON9OT3NJoI8qvgsu55rjYy0JoImPnU5wRmmXp6BbybHMWnHj0ZP
IZ0mmRVkg4O+fLCK9op1Vn9tRHVrA3XqjaA0ch0woKL5d8A2RG6eBErivT7Ub/whD6VrO1Djm2VQ
9UtxU3Vt9zEkEw7QPhkRHYPv00w9Pldul23wI+XFrtbQW48Iv9i4abzbUW2SyWHI6yqvQC/EsTeS
szKm4ploPibfeDGhfrBiR+AezVdx7hr3eUw1gh8xhfXTxoafk/z2ksWwXsu1WpmxuhW9JRT+MMPk
RBQGKXWZVsjbNLNexdqnnN6RHSxaIm8cHBu4MtrkuZBpeZ4Lbb2b03YbRTW9I9Pe4jSvZuQ3OO5Q
Cli3Nafqp3/NuakkLL8/N/+e1/xnZfrj0FUP/n5w4mPCwMSgUTrAozxLcqR+X+t5nI42RiYczMBq
dFtncvjj4CRgl1YJmQsBYLbNFpoz9cdaT6kalZbRAV9tWSz2/hHMRigR5N8OToicVLs0lWzpeR11
rv+1OO2ogWtO8R2qYnhxiUn0xSUlSTQIN9hkdz6qBHR532OSJmvsv8111xAM1Bv7sVmLhxYp8ynP
DCtIKgdPLeC/9lRq6jmL1flogjyJUhJES+20CIeWO7pbYRRv+erXXwbgXPcpSngCI16XFv7xFO8t
A4SbRMSe+aQM51daSs1S1rrjG5RoD6k3jH7tmXgjGZ08mW1h7YsIMs06hv05prh5SHKX/CS8gdW2
iFr9c4/3N5Et6aLQ5xgLGMM1ZlWDTUlcGpAPlT9kY0TW+KjVcXY98C1/rAqtuFlVSpPsWotfEAgv
fpw803R2KHWNA8YlqwyjibHRuyZ9HeqKDR7riQq8n0eAk+uRFNh7Q3+2u6l5tL3e2aom5RCP2hL7
iduznMjX/mCLLH/Kh7XcmWglrcL14xRmTdI3RrtNbdT7qJ4zeBF6017T1wK7ipf6jFGxuvJgad+N
CiC31p7wvVzoJ5Te3QaZHaS5UkHnNIWfsxSIrl68MNAUnA5FHTIHCbDObBykLdT+cOzAIdr+QCwb
QaXfSXcKejcr/N2EmfqNHDK445zcix9XWNkCy6kUdUtB9HKheHrmha03aBh5mR46fbqbFH7PcYb6
ivM6Deq0mw+5zUIUWpiz7xW1z9Zyuac+zJ/bC9CvVGw/WeCLsElHmq4jOzG+CQaE/qB4gHHX11/a
rCeDZZODB/GCmmAb/a41iFhinasVre/kSKuQ1jvgBssm4oC22ECTtnRBEhYuliIwizGDZTOR9tOI
fe0I1XXU9sbQgzVseoU4bBTtkO084EP3AkHMUGjCxhCE/Aa5BSeRqwZkYrTofOrp+Idvo2IqIgb7
pl8wi+kFuUgsR3I/Sl1m57Iryy/rnBsfZpP5dTChkPdO0rTjRw/wIZEN7QBd9UIH0BUogJ269gmU
HH0US0mg7CVs7aBiUd/hFTHSIuAShjvALU5x3ZRyUAKtpnsfncW4H8RSfOF6NM4y0Yq7Ad/7GzaB
FWDTABg/svriemjBALnlcDsmUn7gtiAFKjTnjGAffCa3TPPcws+seHk26LG+5eNo1Ttp6dk5kVgh
/LruquRWIvF9b2Al1aeGhJr7NK6NDvbJGsszs+4C445EDwZXIJv6nNC0OeZNGVfpEqcKcn5XAogk
f0ev0/muS+P2NOa45PwQQfMbnuv4yfDGqd9l3mIzLM/xb22yfsXyQBqZbLb2TGnAnEVarNlagTRK
ejmuBnhY1W3kLgNo/Zp4nK6kwatKrRHfihbHzROjXdQ/4QQSya/IBYryjWvVeXnIyXILUBWSPkXe
Mo4CNawcdpamg5+SdpyEx5KGD4tLXeKaxgnNvlY03ifGcmH7lMfWWvq1brcf+ibJHmajzOsrt+jb
ZutoIv5io3/oti07eSBZWemFe1mPFQ0lE/C924lxt3YgTkaRf6nSKD0Tp6i/iti9x9JHK5RhdJN1
9drn45VYtevIwp4QWSSu0o5dm1lDj2mQphzg5Pf8ddS9vcfoPkTH1Gg3lowZtwK93E1knvij19gh
m4t8mvmOiPDRa2EfeFq27u2lzB/k2OF4QDkK0ZStFYMulR1oUqydIgErR7D0KI9t2rXlPs/7MlCy
hX2aGgBm6rW9HqlWznmlItj+kilYdEyJB4rZ0bvKKhUc0WFU5QOCMbweU+12GvLiuEZM7bYFX/v8
+pIwGLUCybuTJdG3nO+2u9GbzP7YudM3IFQOJJ/J8ngnemxgeFkPaW/1V5fQwZl03juqqOVlDlv9
nNfegFar+iV9kHe54D4IJ8ymXOE5YhFzPlQm2ylwpTUZOiG2o+04NTgtlz7PI3/QE/kQWW26rSMK
Pt+VLQJFGNbG7ZB0xuRLrpgXgSv4c9MPzd6RAzyhf021ZbEW/X21FZRDNPxeusxjvxdbpKMwy1Mg
c4s9MPtdqp3vxZbzB3JhhyoM4Q0VDxmZP4stSVw9ZlJEJQibERarCu1HsWX/4am5IeodyjHBSvOf
aZfVi/yt2OIX4/lwtbsOWi61Wv5bscWKp4dyTHgPoQ07nIzswZTajw0YmYNKAYjyh5XiqHSBlVII
TgyRDq6RjFca2aXBPJrzdSlI9t5kc68ihBHVXNGwAw20GKDIFCVidxElrkqfOBoq00BkIvxg6Dbe
tEZDypgoVaN5ETjiMEXsSDhDf/YuEshWqSE1KlISvYmgr5RWEr8HskkccZ/6nB607FUgapxGHQKr
ygOr18GZfqDIzDd4duE7zNLZjuqQGxCdgAQcE4JfyH8/LqH1tSKl4jT2RvIwoH/cN3kZnioAggQm
EvZUwKzxDSyYj9FC5y6yQv8S5WI6Aj+e7kmFSbRNWkTho5YWhiSn2pPP7uS4T7XI9KNLbsvX2Anr
PZmbmzqx281aNNDD+5assMhAJ7OJ2DvvtUIs781quE+TkMXOA9VzkEmCLmgKl2PnucnrlGnimtwZ
+YKdsbodpD4s3AKpe+2GbrFzmlbsEgGatSFBc1ux4SU1eTWeESPZ51EoxIlMqr1BRxs0udXccRcR
w9x43SnR62pfmFI7hNEUqwBIPdlMhR0fSrYavkvs365sUMsZmZkGhWt2hxBmrW/AhcGIVzdbqZMv
prErfwDP5fhlOzv+kPCEI/7fWyYu3YGsKe246t5wLUaj9xfQ8i8L6OovldGKPZs7ayeyxP5kKEZh
omiFDQ6Ul0wf7ZO0YRkWcHQIf1CAw1GxDiempJuiq9qrWG9sVL/EfE0Ts4d88fLXOk/NY4Iyf0s9
aO+GCliiQ51wpc2tvVsvuEWPAI3NMsJgdLGgb4TXQdBMbfK0GIkXitmY0oM+xuQtOtjY4TrKC+Jx
veAepSI/GjZImkbRILu+sV5NRYhkdmscOkWNJIAXY3SaVDEkNaiSo+JL1oo02Xt6s+0u9EnFoeRG
7a5WGzblrCiVneJVZopc6V4glvoMzxJHmvMkFONSIzLgqwKRv68qNAVL+719yVFZVaSKYTpZIEud
msVJ6m0s4S4ubczCGi4oyVkqmoVAG+2+VKpdS+l33YuUF3C/E7hK3/vvuQb+R6bIvio+f/39NcBj
f/bcrg15TEc1KxH4KCrt92sAUSwdOHJCU3IQq0Tun9cAjTo/sMhQx6MC8INL5cct4P3BUf13c8s/
mFUyEv3lFkAFpKM7IosDaZCBRvfvt0BauGPWoq+WqZBB3DcwrPoZJYgxo20dMWxt5sIuNxxAut+J
4d0gc9gvTVnehEYhjnIR1m6UI1WqGS7tHvKA/aGORX+Dk6U4Cov/RDIy7jMD9sIYpj3zcqMfgW70
2bk3+TMtJXTD5THWL6tpC+x1hgLRG1p/kyq0vHmhzCO40XG3wRPoCnvYrx6P7GobXzAutnYrLLsM
+rHWMQR6zWfMyAMbkxxwRjZVd0UiP+cxZIIhxy7dMGwbD7Gyyi7KNJuX3ezTo/CF9vgltXXEl6/M
tVRNcpNNabm1F+1TpxUuiRMDiQAcQIRHRMxTySMCkgoYSLX/QZyW4AnrWfft0juNlvfujkNJDOJE
r618vbk9PYXW+rjYxZURInsto3QC7qQtAb6UxB9yt96u1tScUbu+oDTTeel43mhtovvTCD6/GOKe
4BEYKHjnUAuJaTkUYkwPmgkRo1hJ3YXMgdAgCrkXo0XDSG3RdFrp3TJZGnLi9JRq2e1K5p4V9ycX
CaMP2Y2/PGwkWouKnFN+1eylIlLjU6K7Ec5xAzWSV3fxjY5ZlLAhjzA128Ndj/Fp8IelqHNcM/Hq
VzM3/2q2ZaAJFFUhkLCvedh1Z7rxDNEkd/dgD8sXE2tOgHe0YW2vC9BfA6exwG5+B5n1C71quOnS
XiAvmuGQd0Z37OCvBknHPBX9mXeMiNTed9FqM4duWRhtlos+Mu1S34pBWjFtyRpGSCI+a5aWk+VE
Usp9lOq8U6WwVXf7oOFkfBJGm5zINjGeZwHKxIeFRXbyMnFBLUV4U3Zkb23alApgr5mDea9FC/aa
HHHdNbSd6CyBHs95cRf1ecFlWuZX0kInMvV4xjHoRIQwOAzvx7Hf5+lITleCTnwzmK52WNMVk6IG
DOIjlv6BiO5RZs8rYZ47F6069JESWJXZRO2xz0OQtPzjb5u8w+S4usONPkws9ird2NfOUqOXqxCr
Wk5Mhm+LaHxrdDymn4bhAHi+vjJpxR8qtLgnZwGJUHoYn/Iy5gtH1PF0zf4qvGKg4N2Ey9wek3xZ
9kPCGsDOcbAQDjNvbYB66FosuXMJesMpY74zFlTpGLXRBjU7G7rOgVnwsiKLx6uF6CG+wPvmsJo+
wUwZ3ktPsATIAL+HJDZfTWnS7YSV0mG5xGzfURiz70uqsnxKSgR3m/CCBkTV4N46TM8/qUn1MRPk
NBBwaaCoSTzdDOY8YmgQrhAAcod6oKxEcwwJmSA7Kx+DMS4Ze62e6+eDFt324YyjTpTmqe1iy3ds
qc2bIV3KJz1ts6OJvabdWPNCUI8V5lCURDHie4FRs03BfCB1iV/ABneUihiFVGJa+zxk9vwZsGoN
m4YcTL93dNa61CagE4WiKOory02AXnPV+PUFsYiDiYZNzVe6oa6vyrJOzo6avIi+aB5gtU4JR7Bn
vWVopGNmDPbNoiY1lkMucl7a80PjmksJgESQy/GvubZVztPvu7dj8Xsdr3rkf3o3OiwTUYZOrMsP
tPt/ejdaMN1ls8jhC33Q4DE/BuU0aEh10WoI2jRp2X/xv9h/GFhSqQGEJNmSttD8RxtGbKq/9m5M
6CW/GtWzMLxfo6uGWXcSgDBbeLTmtmwJCUGlCo4lHt0NczwBWjSqry1g6YdKHwmzzMaWpDjdjF9F
WNtKtg9ftwzNx0jq/Y4oR1ii2dnsJlq0ytPzY+gljT9aYDlHzSIwOU6yE3fZcMdfr+Q2Hz6NaVm+
6hwHJ5A9ZNyZpN0pY/4hNUVDs+R8JBAe4adKxytItvug4aXwqTWMs6NS9LjL2507iRdjEDBDYkTC
tE1gSFQGH6wmTPI6cGJdpfPB9nE/tlZsnwfRe9erSvETKs+vJdjPKuik4jaOTqVK/UOWS7GNPEED
8UUqYB+TD+i4rAlcnB4BuwCwL61AYOzW8ghknmHkRPKFqwD1jkLVR4P9rVHw+qhQHHtLi6sdvEpC
MCJ3vbG6Kt5LV5HX7AZL0Maw9O5cl4LjYUEUeYrMhOFoUz+jAEgRek1kGFYOxCI4TDjOL7z9pnae
UjgACKnTe11B+Zmka4QoAurH5uk9J6xxd2sZ1l/xenLHgpKez6a3R8HxNusjbEQbnOZCiSTSXY5J
5NZrWvlmk3t8qicIWYnNdb1ADPDTiZZrLOaQq8izrvKKfXEB5PgK9hrhW27ifXCaBrlpX35kgJjD
YGbXQuuuk1yFZ3BmzJSWDO+t4gvxGHRI/HfQ2ct6Eo7b3+dmNHzRF1nuLBCruzUjXSiUJWXWTPxY
Md0sWH13k01p43XpBzrIYa974fK1N0umV03sbbs2udFBMWxmlwTpqbnKVnDTJqK8tNC6oLXH+FTK
iMFE3KO9y+xdaoLrQb88/Xti+1T+7e8PvttuKH/brqiHfj/58ClQVnKIMRTSMesZPx0MFj+hV/mT
jsho6qe2QnUPjLr+I67gQT9XhMRgYLVnogPfRPnx/8nJhxTu7yefQAWHrR9yFqMzMFTeL1Mrtvx5
KLoWa/Hs3PcwnNCYp26gySEk02UNgyjv0FQPUm5iUaw7Nh7mFV510paytNzYs3lT6/QbechIqOES
vxezJACjl0fE79taerv63dBoefCgmcUGw3D0afQmJMNxVIF5nc1Hq9DfisZmdxfCLDFEA9spJ4As
zqzrPOMwYtVh+BaWHR9qCvuzRpAzRyz9QTf67KYkpHs7CHgnOJYBqabL+oD4zr4TQ1/fltawawzt
a0EtwWiqnPf6HNcv5HiAM08t/OI9pOOtLqMnF9aUScbuMSzT8LZNcSciqVdTpR4z82p4QVnFAYkT
IZE95BVWq9YdzNxITq1a8s9q3a8ozGKTKRFAouQAyUUZUF9UAnjTcKEr6YChRASI7JdDo4QFllMX
xc5oevTnnle9IWHTTg7oxg2KEtevWrv7CPiuuGH3V5LvOw3srhAyrCga0o483lWIEyG/i1pkInsI
O30vqhVWSl51th+N9XA91FN7lTHuY+KDzzFg6WZs2sQeP+qNkRzBC+onyEnm0ZTrG0xr+HVh2E5n
T73NmYE4PZd585RM1nUdF/fhNGnEslZA9tMMvZ0YeZ1WzeB4h7825uj5XjVjvWcs+2EoOhxhtQkm
L1yhuYXwCmRLrE882fqZeUx+5VjLeKizOAJasw4fIGzaPmowfQ/o90kmE81h5z5FcioOUdY9lLQH
25VF8C2v3GyXYo3YZU/GNg69dNe0Wn7TeRm8lkhr36wIVRzK7Q3LmDc0c8Ye11dyXTtT+IJETtzn
cwQowNLIH65LgqtrwD6wNi3EHsJVami5WwcLxbo7t4TjAX1jugieW0s/DTMIrzbU6veoidnuLI5w
tkbNh3FK0+asTU74mqIy75khfZNN15yypja25MhpR23wlrsRxcZhqeZuS1/APogvaR+Eeq4/XsQt
8EaXG3TW1XlFJnNrobv2ERfQPhaeRf2LuXRDycGCrMaUk8cRjazTaCcKgfyRgfX85LRh61eTxTg2
zu2v0O7yh7Sb7pMpnu/gYEjQeLW1qeboUWryA2sOcRNNy/BAJ+s89MBdAfkU46bzKi67sEXW78jJ
u8aBOPk9Sl+WcIOEeJFX+9FEvY3RCLuKDcFoSdaP1Zyse1AuE5oAYJpaVGjPemlYd9lC70gGSLtt
HVP4LQRAcB3ta4rsZq/z3dhE+ZAdVzZVO0A575k77MTIU3syfFtCJb23ydeL2c2hJaflTRygGBle
ECqWeKvBsXySS176qqXbegZIUFaB5aHi0+TH7ZIEDApJXFEU8WyBLk1+VnKcyxKcz9x2fsJOdrPG
+FQXxD1+Nkfv1iS/1Iutk53SZ8fSXNEw5MzD8aBd4aoAQ41lp5wBl4EQw9SMDgB6+DcauRtGlCNi
KzOa99FkjNsKxxt4TA28HLQKFuj2TlbW8B7abnhnZI2ygOmlr4vpvIJSqKERUW+JaAfuqNh6YCoA
oHN4lQV7WiCaUI3LEfL5GHaHtFpMf1pLZuNQUTWSKAvtemo8I3CW9q7K2w+DajftvEYtwYN6Lz9P
9bKcoP4+e1FtBBqHj18kpIL/e9ogpom/rwZOSfRp+vTbekCNIn+ML/U/UN3oJM/hUURs6TGK/N4J
IajkLsaHTxNEzgAzzp/1ACQA7mn4AZLpBwNOlx/9qAcYerJ3orZAa2RZ9DD/rBygTvnrEgsQAFg1
vm5gTDGW8xn8ZXxZqYttSo/NWLKmwNi89Qh29w0ubFwgCqTuXKDqoeKrmyScgzbMvPGdOZlW+WEK
i51zqn3Qu8nBeQJfpTKwaJUO3y/hiPAIs8R8TvvJuxn0Dt2irYjv2WqsVOTRDUxGSu2pVVh4Vxbl
HTZJYPHAUQDHxzYegWBRPPncgZ/Cqa8w82yTix0kAmhmMFL0t1Boz+2FS9+2ClGvYPVywk6egX+E
zCP67gwOZj0KBbiXYNfJJNBbRkm1QuBDQBgfhmxiTlddGPnGkKRIIhU5XyuNKglkRNMQrAquP8wF
XB9X1O776DGBcquifvhv8s5kOW4k3dKv0tZ7qAE4Bkdbdy9iDgYZnElJGxhJkZjnGU/fn0PKTGXe
yrTW3d2uVVWZkiUmGYD/fv5zvhMtRH6cQwEkTDD9iVHVlCz0Ymx2YztK636K84Kc0JCfejDA5k4o
6L85FjoD1dIFQMd40DFrjXQEYCJLJ6LTI1Xlndbor747Pbn53LOCyPun2o0ENTNL2UCVCn8AmSDS
zcTyM1qXlgGlS6tpKfBb0EGQMqWscAuUvFkxC0T2VdkL68aGPrqVRTCuvbhMHzPuqTe+N2Tt1vJi
4zOiNu3yIwbaTSYZFiGqYEHi/X8RF7X55hSR9azpGVo09Wn4mUQQodYFMJReBM60w1gEA00FiC/X
nZXUN9J2IM/YXnbn0rxznQeafHMGYT2WlkvZctNZp84VXbaZI7t7CqKY23UFeOkSa4b1YNvsOFe1
STOH0wzmReYNzj02rgLPKLK2jXVgyt8MElMXmt0WLul/nrvtiHXcXeVhW2BpErW1twqD2EGb2eLo
cDl7sOIKD3FnGPclWFAKfOupkpBW084374KwbqdL3WqC08DxUmzaPk+eTKeujXXqtm60pnmZb17P
pCL9d7l2lydd+FHQSRpv6oaZgep5jBsQLDeWmXnvyejml62fmi8dPzuxpp6kGjZmIoBeyJEwbY+d
562Eb3GmT7qDX8eiE4U7He141QaYxYD5MaXhBx63epn6WxezV7JP8rR45jNL5VpszpddRxS5IRCN
1zgdc3BW5XzThVU6g8hjVl6VYg6+TJ1WPBJnap54D9VsdJmgdlPQJIfA6PpTVmXhdhx8OzzajoEV
G6cPaKum9GO634rp8zT48pEwh3jkc2pZ+zGWpY+7tzUffd8h1xsD3aYymv3hbZcH3DctUrgik/Y3
20u8vR0042Ocy+TZGYz4MTTTuIVc3TYvHhfmdhXFTncNYtk+tK6V3WpG7+zc2rGugzKipmUKrYu6
oI24TwL/gPyf3fRgDq7HIo2vh6DLj0mMjko+o/wYTV/fJNDv1jaNwl/c2OqfO4ocdrUB2mTVl4N/
i/o4TJukhyt76qLp69wq6VVQ6cYFPmLESfSOQukwNi5HxvxqZTGmPpdxa7/lLIp3HTVQvCGq8ZIl
AFuArMvwlIdVjD0nyE0WoHNgfxtHi00kgLxkBZcnP9QAiMkchrpzmwYxZEKfn/2aLejgrUpfWrc0
KCTtzhhk+Y5hyfnwoAm/zMmUbnRaMW6psDHPYO0Z1jRnGqK1azjdjaHKRNBziuFi7uDm6ow0+yKP
xnMSAGVVDVUJjpWohIVOyPBKNhMUMsHgvOfBblhgdTPz8AAcdxt25Og2oQjag+ZX3skGDjavnAwu
Sds35r6xI5uf28wcfwObg9aKFMjHHVWAwLInuHQ3IT4qAFWlDAi6qN6LXFVgGEsbxrQ0Y8gc0XdT
RxbPUV42oiZZSZGGMalODQpT03uN1qotBRX1TVpZ0e249HGMotPE1lt6OgpV2dG2NpuXpcejXTo9
Rs8dnaOrqj5CVfrBBdRLVv82A47JqvLvB5wvxes7M0zeRu30E6pBfdGPwYZqKLzQYBfAtVq69ZMV
mmW6xLjjwmnAbcNI8UPmYKwRkonDQ9ol4Wfof6xlGWsWgcOTkByWOelX5hrWmn+da2ymGsUptNTm
GKvOn+eaIeat3KYSHj8foFVX9+lrEUc2CIY03SSBzT5HKkqxH9gFodVRwYvdUQNkTLdRsW5dcKRe
QI46SoAdK1dnvU8UfGs147x9rVj0AwXgsCpd8ZWARHNDNh7fB4IyWghZmUOn8Mq527TXIHhgLgsz
9Nn8KhQzc0fw4scVvoxQNwEmd4YFt7lNdfGl9U2bhoOF7GwvlOdmIT5PCv6MJxkOdAuT1Dhz/Gj6
qpy05ugMOG3Ak/gheTOCWEw65LjOpDdgTNstuOlcgac9haCGliEoVFJcan3y2uGQLrzqcWFXg4Wq
aaxzNJjWTtGlEGOq7tYirffNWOjX5kLCDhcqdtuHGRV5gMgzRiRrKh6SRM6kM3xJgxRg7UgHroSJ
FitTSSk45wYE7nHW5n015DJ66rUx9Y6OwnXzV5ivTTcNVJVTl0zlxsL2nhfOd74wv9FE3FPV2Pxi
AivOE9QYAOGOQoUPYdfa22S250dM7HAA0au4O04c5lHeOHuTV/K2aQLg0KzOsVu3EoJ2iWkbSOTX
uqIDwkqQW2mrumUDGR3NvrcPPYbOK1qB8gsUiuliKE3K21vaoFY4DJOHdM6nlVeojmPplMfUH71V
FSGKkR2nczmuP/Ssi0+OR60Ive1GchWI2UjXvukG1GZ6nm8ctEAOylrCFtg9cVEY69u+xBD8YvL2
nmFmmwEW/nlGuy5XYHegC67ShP3915FBqCQfyWb+vh+x/WPbnUtJH6oTUCyYmeXW5INDDhAZW39o
1NAjlvknUqNQTBgoWnncX10amX3P2s44dV3kL4YoJw2LN3gYTFZ9yO1whQDl3Dtk8C8aNYSlAZ8F
GuAZzWo1pA2TYF7DrN0/IQf02QZCi3Uq1GhnqyEPSj3jnhr8smhiBFTDoE952A0Hl3c9LLOiCjRA
0e/HF3OZJcPJZK6MMXlHDJ6Mm5EaPOn7GC5cNYxm+VivHRat5SZVw6pQY6u3TLCpGmbHViaPrhpw
U3AKUEIb66ZIcnYOtS+mZD+ofi94Pu7ZXEq/OqEKwKhaGjblpGrBdNUQ1ixlYVEUd5SVUCE21nSJ
pd9rxUwaxoLCw6Kw1I4xIRCXILMAIlL1kvHrHXe0R1FWNuO1D9DFAt1c4yzD5ZpbIie0Q8sZS80K
qqfltgXUYSs+O3UbE8BX7WhzoorSjDpwbsRYPIA+dLCpq515aU72lb8s0oFmmLfVsl63hqYwNphl
zafAiaYZ6Axb+Y76ggjj6zg8pgmFKrvUi/QZfiObfoXxrPaMVBEUNGUSQILum3VFNxx0TvJQG6En
fbOylPmgBz/RrOnyanAbBPpTpvwKv36aXkVvaEjFR/u//sfb+D/finKqI/K5i0nnj/91Xb7n9239
/t5evZR//Sf/9IXN/1n+OHgvNi/ty5/+x3Y53W6793q6e2+69Ptf8uOf/H/9wx9n5MNUvv/v//7y
LYvyTdS0dfTW/qvj8x9FhZv0pX1/+XtvrOpG+kNVEIQ4kQLwulrELv9QFWwbkJyHym8TU7Idztjf
jl+d41ed2CwlJDwvVSL7Q1WQn4TDcU2eXfHXWZL/yulruGqJ8BNCHcGCnJPaMQhPLWz/A14QW7Xb
ZNrOHckj78yO5iQM7kHIbZwXLdEB26vcU28bNpEChybl2yiPmvIiR6/65lErFl07bSiQ/0k0YvzP
uc1Vuk2ldS2rD33qpkcX9162wYM0XXc6HLeVXIIO9VzI525JPxCDCFUewlfJCH8JSfQqL6HFVX7T
qgxFZoX5W9z4xm2pEhb1ErbIlwpIlmnUQQ5ELdeEoSiJpCqSij4dBxbVkkuRZJXUlEqKpWCycrnL
realeNK0IRBBZQ9q+6LsM97Vkmd8g1GzZ/mp2isBVljiYKOM3IVLu+XYWo+Wn+WfpUGvNzQp1Uxm
Ly1lka4ayyJVXtbC27solkYze/JpN4s1l6azAvwopPelAU0sbWitKGR09kOXjSoGB1GQIVTtaSE9
avbSqOYu7Wp+YrXWyuZa1Z2QS2dgG6FqY5tYKUYPmSppAytfYWujuK2RZQOj3hqoc/MNYqlLx1uA
El5tqqX7jSDBRwEnKVnV5IiAzpZSHhAz4mTjpw2FscwKNlGevN2LrCoJ8JvdlJ8rqZWQ2bPMu+W1
F97PSeY++sasfXWrkMKNPMYOlHoZPRHTbCegg3DfA3M26+6AMwxAkymKa66ixrWGsNJuaNQNwtVg
d1m9jmxDXW4icmGDY1YXDcm1hEs7qChKdLz5Vvdlo52HmF2FAEJzmftu6Wwgpjs3hmOOqNhTI/ig
eUn9WrdGdoArR0XtVJP5uOxcx7+ilBs0kI+GwotS9rm1kaWlXXKv99zVwG4B6j7VnAHnWGpQMtwP
21SnGiPpoug6aBMBgJo8TL4aKc1kQ4tFmAyFF9Ai4nL7+pJMMt1avYAaj4Qbvg9pre9Y76n7vwPE
cK6t7iXo2GBVtRUc8tkPtklFhmntpln3BbsTxC9bZhSPm6kZ3flCus1R0+o2uawo6uJh9InW8ekk
u/Pr7/P/am9ql5eXpwqx//5udHr51uX/Qvz9/Uu/v6TlJ2rwbH7LusNvQpldfntJO5900vKqDg9B
mNsQUYTfX9KqKk8oIDokO7VD5jv58ZL2QODpuGc8g0g8K2b5S4V4QvyHVTBsbotCYInWTA/HUoTx
UzW3qTEPUrnNttQgxakH3ldDSoLYzShzH48njdfHGIvYOrGtTjuDdJ5vG03w5LTLUxRk1DtZ6tGK
l6dsXJ443kM8fYGlnkSFDbgG0FZek7JqMJzxyM5kJMkWzBUAsmx5qovc5QnH79rea+qx19ULIFGv
AjsHtXpbsbTd6su7YvZAoK2juqM61JpC0g6YBR9bFBVAtEXiHYRB5hMQ6axY8HI+8j4jDKCKKi13
orOSIUyEO4eiy4H7kOFAtqoH93NMPQ8mXU2vx00MIp1a00IY2HGM+tLMjPRpLCuW18hLWaOkEnEe
7Ak8h+v3sMH0ZhLY861gPo80UG7LnNqGxE950+ulsYncojqRnjSehpJd0CoktbJqh0S6B9ft1HVi
cO+1lDX6epRJVJ7KCH79bGqs1UtTT7/0hZc8SKlXu0T30do9gnXl2AWbSB/0ft/rybRzRds9p3qZ
HLu4JNTIfp3eQV2rr2yrDa8zMUc3k4Muv5pKkuZbBtN0Xtc8DEeBGgndw/ae+agOH37fFc+R37Mg
ywprN4xieqogheirhsaOfke0n+wcx/gLl8M52ApemNDxo7Q6U8pKCVFGbx1doM7ZDlzW4i280V2h
afGVX83usXaN4c3PxXz0/Dh5IlwGdz01fPc6yaHr5rHZ+/vMpaNxo5mkYzbgWa2LyArc98YPnA97
1rx+U0AoR5jiFuVBpWnjN4igKHRkSoCb0LpCt1PJZgVXokeNCAlFT5XVbRytpLOPKcKj2rQv+QlG
nfnQ+31xE0s2i7s8MV0iMOnwxK9v1PetY1MjYOdl/RlYHQ5qNwXbnbVTs6KSZTQZ623nsVCi5Vrt
Ha013kia1PspjQ6GYrjlcQw/LDVj7asR6O4p6AAcN4DGjFXZgz3GQuEeIpZ3tLIARQZANd77CpSc
SG+8jzRwiKaX40hG1lQNxP00XqQLaTkFNXsTpJ7SKPlQp10FkjnT/Xidsx55SalJupgWenOalAMI
/CwxBfWoAJ47TwdRr40w7FfYWALQQ0MVPQl1Hgc574MNTU7u1egY1dOo9RZDkPdRAmR/sQiaZiuB
NS5ft1GE70tIhpPdaJj9ikN82E9R3EDJ8TX7c4bVothM2DefGru0nodGWndlGJY5d14u7mE75ddQ
aKhs8cbIfSeV3anbek5XnxMhtnjkgs99Vpn2fhon/jK9z+crzR7CFz229JukMVA0M51jTWP9fkxD
x7qshiZgCdL5bELt2HduCT511safSi/aSrrr11o0VzeR9Nqz3cbebUdn27wGHKcdY9ehSNmbqWSQ
85Rs2slL3l3y8wQ3wW7sUWVxGTS1y1KWooVm2vkeInnFsoVKbf7wrNPe+6CHdF6u4kSW2Sb15kCh
xxrMxp0zHMDtF8Z6MNFr6WAIb4K+sCjAtcZwDZ3iqzbj3Q6kjZM7pl00Hunb9msn6DdWI4IXPPUF
VXy5H9PYJ0drDbaaaDMXAgvUfzo9V7o2ytUwenhmdJmQ7uJdlj9CRWk7nOgteOfeyrLmwYgEtQll
lXwpGD82PoPOritzf+e080DvhGYhW/tdd10lEJYuvay2tC1ZAuNKp2AmXict7Ya7RtdrgfCPe/5Q
5+b0pYp8K1kVtO9dCrZnuOXnit+kSSmfOEHzjnvcg1MkoIcH9ruuYVom+p0e+VZ7FBRXJ1M6QBvf
4pjuFN26rvbtxIJ1Q16VW3KE1osXMghgXEFRRTOe0rbaSpzH3WEowGLvWMlQ5qET6SUwLE2SsUnW
9h90/gQUiWRpbOxDVlyQmjLHdvf/FjMPXDVucf8w8wwv9b8eeb5/5feRx/lk6hL2lLKZ4+BfIEHf
t93mJ+KLXFkll0IUCOzBf4w8+idAKMwnhgJywvL9+V5K7MehjMuS0kblxa72K2kdV8m+P11MmXf4
vhihFFqOuuG/koXGEj/nGHKD74r2q6yrls5rbXig9dB/5PMYX9h2W39mZ2h3R4e3F/GXmH3xCsd6
+ejqdXpfzKbz4WspWpsZVRC8CxSyW0rPKYobOY22ghvhW5hOlFh5ZFL6Hak7p9rogM+4izo9782E
VhBatXlCb/250G9MI5A1a0bOlpVLq+d8GmB31BBdqB3zyjS5ynURRysT1tYXrwuDt2lmhXhq+xhF
xiuV00MnbOrvBzNKtbUw/YZLh5znk84FKNiGaT5+jNZY3IlJRDj/1cqQ0SQXB1qP08cUPZYOGsTq
Ly55yEtDyyjF9eEt3kJuBZs06Nx5d4YlsDd3kd9G69bQxxf6D5jECG6P606yllz5ji+41xN5J4+j
KbuOU2f2MROJ2ZznvEcLlSWEkW4sLTpm3LzfJTltI/uKfcG8HsBagEjgk/S5k51drnXin3eha0Zn
l0bK1zafx+IyGAXRSTa2/RuRTqA3LPhEcASjKrgfz0kx3glb66J7jStYfplZKT1ubThlGHOl95Ql
bnaOm875nFMMs+Hgsi/bhBBEWvNrYTs1vAJ3xf2skT647AiK07gTzsMuDtLybg7jdj8rEoaFSStV
sDVQl1rU3SfBwLfZNTpMhFiOtyhp8c6As/pFpoV+bOAZXTbVEO8E7LhtmurxjuZ2/Ft+n0TnaE7j
z5Ys65Ne6tVrU1RogRkdOsPIjxOfdzgcw6EPVATCjo9zV4tx13PQUfaTY+Nb94Xoy11Lu8huqpLs
sbamDjFzrsIbvD5g6QpkYbXKT/FiNlFWcdJQC7B2+SkBdmbuGVd16Vavha5H4BtSPfqYAEkfZCVo
SU5CAzpLAevk3MIZCVewXBAWAEun1V6vXN/ZpEHrZtshEtFD38+ahoc9R93mD8P4yilVgiXhgN/6
LpGSMuKesDHyUbtrTDmCrGFx4rIK/NZmenaAy9Uda79ILr0R0hI+aeArfmftXM8XG/BO0QZrDRyT
WPZPfZWM15jxrb2bQegkxkpJMGvcL26PkTNm7DyOEDuxpFaErwSNc1d4S/jQDbD3h8ooALqG4nHO
dO99opR6Z5Lu2rPOT87VZPqbxsmbt8iO9YuynsKP3JHzxs81GwdnFl6JwfpcybZzUDlsn8PVpu7U
Fo7zeagD6qLK3vG9i2Z2KO8F1mK9l26dnGx6Cm4lGECBjFNQ+mmPWd5dzUk3z99s6ST+QzPygdwl
ZSS81UQrVLF1tYZlhYe1Q259afPfhVfSpIwbHpqe2fPWvQp8w/kchPnsXmv+NIvDUHfFi+NU1E8N
dZS+dV2ZnMoC3gf934FxSsUYJ9s+GzwAzyDCxHpwaVw84qBEsuMDU1vDeopjTZxowLPbuwTR4AL/
zLiKWEpFF4WbecGeUafLEU6UHROExzHvdFqM4lz7jGjhXFlZODzaWUhFA/UVOAHtQuMED/AdnUvT
SpEoeHSzjRlZ1jlsTRM7QILkjiMDz0M5DuWwCuhLDUEAu1O0SRU9DEyzDayXtfxbA13Y/0/I0f/V
5AvDQZbieEVR+IfD/CX/hxQPX/r9NPdQhdEIVIqHVT1ofSaE76e5+8lxCakrNgNmd7Q1Qrm/qcwm
hjcLZDokLGVgszmDfwgYaslr0bjuseKBnOCav0Zg+Csn8A/zGvFgVVnH3PAz7qrWsH/1ttgX8UwC
VfB9AgZU13lsDsXJd8aQHF6Ql5+dFBcCBDgfXIpbGS+hFlKubES6/tFK4oX7aW5OlZtiPOG9W51j
btPNAQq4h17XQpzmJZQ+j00/2sdoNtSkPtSPMz4L3p92Fj0HgRbF914DrXNN/7UzbTplj3CMQtun
DJkzfWK6d2rpJjm0oomwpip7xcxNnsJNsCvFxlIGDG/xYvAG8a/cxaFBCifZp4tvo9CBexvKzDEp
W0cajcOFuXg9tLHvbkhP9xGEduUGwRQhzg2Sxi3SQLoJuXu9BCUGkjBuqncQgGm7q5TBpEl11paa
sp1QAYoDJTU057ZZfCm4NfJDRXw2gZo4cTymo/VNVCMpxSBSzpZcmVw6JE/uFcr6wp2XU0bZYWB5
WG+2ssh4LZU4K9tsjMti8dDYyk7Dphtnja5MNj1um3Tx3fSLB8fVE/9WuD5VBt2MhEE3R//sKONO
qiw8BubzDff38iNVBp8iMfPjoEw/s17Laxn42Y2pLEEztudV1dHxU4U96DwNesF1YOIiomAtu0W+
sA8VnT/X/mI3YkWA8wiJv8XcEiWPUKBwJimPEjQJHOFWY38TCbVtvfIyWQCBSPH0bfBOs2bgbrox
MB9T/LU+4a9UWPtSOaNYT0o8Tu74uVW+qWaxUDGVYqfCPsWtMVcuq2BI+5PTJckB7FXaXXhupYfr
VFLwbtZDeGVXfnwoAweoQlcbxMnZQIgVdtLpuc0TuQ7lJG4TJ/NeE8Qca5eXufm1D/vkm9lF2is1
ye6HhBt0GJHktvZspYRje+O5TKRxPdgYqTKgvuehGYsvgz1SxT7MrBOwU121Y8yhQSaPH7wWCbml
a4BcLHSG4dnlR2at4GoZt8lcwfJ3ADF9pSbQXAVOUHeEffP8iTuCQz6N+1lY6oKImJO845Xqua7Z
8c3gOOB6aSN6cI1W3vWYfx5BKtTxRgtpg2UlfGKiLl+E2RbXkYZqi1+j7bOVRUSUggB0/2c8ZP62
126tcmrPE8rcSjpZcdGjil+H3igPJq6OY6VEpw4C3xFBPrlqlCTllTpgeydO3XMcJkDxQoF41fTV
eW59FC3sqnqAU9TKXwoleVESnaB+LUpYr0SxsA2ByCmhzKfB+1kq8QxkkvdsKkGtWqS1RWUbF8Wt
wmQN4UwJcUYah9emEudwT1q7dlHsEiXeOUrGiyuo8+Gi7RVK5hucJL2aOlneuEoE7JQcSDF19iVP
ezRCru/5/bAohzj+UBELLcYVICttFQLLcQ+BEhxRu9AemdGMp1AJkvhOKCrwvOBYKLlyUMKlVpnT
uWkjUzs6i7JJ1FpBiJXgafge2uew6KCGkkSjUZtm4ueopf//36B/O3Y5B//p2G2b6F8tDn766t9O
Xlb+mLKpycYwy7KAo+37yQvq3OYajU+Kd6hDxJYz+beTF3sV1nCHOzY0k+88jN9OXgOzuWT5y9Xb
ZTcMEONX7tHqsv7nezTDKosNsmx8F9Am1T37p9VB6eJscIhXNx4ULbJJ6KnO7CKtqqb3cpFbe6W8
kprE/Zcsgqw9S21DEowTD+BD/MbjrHmbwg2NZGMtom6t9F2nG9x3R2m+/iL/posUXJfB6O91uAY3
JXvF6zDmJbyi8CYBFc5TPqjn3VNPPg5Ba1XDC76OzLkD6MJLwl7eF9SL8e5wUv7NVnNjFde+ermY
eeCeYqxCDApYIjr1EkIMl3dUoA0PgUU1howT6ifHGuVKvcAi9Soz1UvN4e3+FAhedOHyzmvV689V
L8IkB3u2YmFo3MrlTdmql2YaVDiAalT3bdOamrXuljdsiyR6pavXLj/V4DSqV7HpTtN5VK/nFDfP
tTSk8Qz9MN21Gi32XLang69e7V07aq9x5SffYt0wv+o4VKwdeTLvtWV+uUVrlXSWlvPzsJwbXe9x
hhTqOGmpLzkIdcSMzVy9+Mu5Y7S4li485QYWizE4Vh7hWbmFPSpuv5SLhdiniloZkXEWZzFCfbvY
jSPTJHiKBTmj6xUzshIZRDO5Ccr24N33eT7zRcrIDJ0Jrpu7+JutKu7jbaFszxmmpqtCag11ZMoQ
bShvdLzYpNvFMk11jfkSKx81oRjv3VDe6kG5rHPTphBtsV7P0gs/ZuXHlkkHPIBolaQWid5Q9Fb2
0GTXWJg84UHE1G0of3cOke7NnblE2GlTtN1apIVNQKkb2KHmgzYcxhDJYzUNoPQ2Oe2uIRmjaY42
gjb169nxNGWubnWL6qA8m7YVEom/mcdW94/ZBA6lX5EBEwVauZ76L+4U9tOTE+kmabkUJ9PWmdux
p7bPpKg2nJve/xo58Ai3s9GXH65q6zPbHquSavCbljK/UVLhCxVzPjnw1DugUTW0uhFbr7mxl0JA
XXUDtnyeWFsL59VdqgP9Ho4VuaKJSkFPqnrBObGCK8QycRN0yPcngAztQWKmvxSqnVAsRYUay3ax
Bozb3RbtQNITI++mzMNuPeZqIZ/SeDgJvfzmabr31i2FiIXqRqRCPXwB5JV7DBDSuwnKLr5KOFrI
H6tqRU2jZZGl/dxsuzzdQCmDzugvfYwOZt31mKmaxtFsnHIvIQ2yKaLIEUAMlY6RanfEFtJ+CZbK
x6HMBN30qgkSXVdnV8YaMVyWNGkczA2aNLsbgyrnvaX2OaXd9fnBW9Y8tdr4sB4h1rasgTq1EQrV
bujf52jjHf8PR1sR/D15XkGRvp9rdHiw1FaMeNhMiAjqSvf9XLM/CdNgGS5Ni/03QjAn3o9zTX7C
Q4QvybalZdBcav2cjqYQlQslN1SW7Ab/2K+daxzXP59rOIYV049vAew8RCdXrcx/OtcqfwbgAKtt
Qs+xn4ZuMPdxGcX7LMATuy3c2O+PPOHzVeq1GH54jKaTqY3hRicqcJH27nikbp2WZ7Bi2BdFPACM
jINjpphuZm8Ur5Xl23uwxBoexoq/SWtk3K2qRC/Kna4JPuFOHtc39uQUlASDljNKrYHoolE/ahVz
h6HTNygW62F/UorhNNKFdSyQ7XCm7TLO/od6BhQPdKLYN4M72BdeqlXHmojucxPXISSfepAnObQ0
gvVZQemOFTNqbxsCwneRrO1uyz0ipNMxGlJ7nZK1eOIs0VWMRSZnrZn74L4AkGGd3Tyy2cKGie1v
tKEaxh1NSkGxF46ZXuiJZyNXh9ZUbqRZBvGLbk0Q4f3Q0LQM5mFaGfu8mnIWoRFk/12gIt1Rpkev
Gm1+LbA10FWkmxKI9Qa5q28mlrNrp/d1B7MzgWX6iIRq4OrqEJdYHvdnUc4WoBtS6hf4jp19Fur9
DQQNc62MZ6vMhxe4tfKpv0lEEZ1idxBUQs/jWYP0ALHMtQ8DbMKjnAr7G6bk+GBRKHVrzAKHZFPn
OpifPtwmUj+EOJv3CQh/bQeJz68PbmroV2lfuMZa85Ppjk2XjElzpC3cOMMprlJAq+JzIjX/Swv6
t97xsvZdLuIp0Ju85d8Isa034caGmS8pcBnJ1ZiVaNZO38zZKRwm7ZU8VfsFWY11gK82A5PaEYzL
ugAQBauDcVkjgPZhpaCp7UK1LBp05omTD6eW9YOTBGoVgUyxSlJ4s/RxqXWFqTYXg9phwPEHYpir
zYaxLDk44ZgjgilzP3ge0/vSy1k/jKnNRzdvtFzZ83KS0lkJPgvNHlOBkGTALa2XL6GeDV9iDAJY
oFBRH+rG0vDO6+4t2f/kiiY3sIaq+wBfXL83qFwor+p0Su5aUXFVTFoRfTQi6b+1gV3eNnMB9wuL
RUdez5jv+ASLkzfQrq2zxTg4hhaCcBE1wY/OgnTpW5SnVlW8Ca1KBxBmU1OCSHWN31A7RHwKt/qQ
pWwJ9LFkGRC9jxk9BGqXz98Sgw7XC/G1r4TWAM2mZnBjLkV+uur0y2dzeKUKkGocmLKU/hlLAaCt
ugCpVanGddK0zUWttx5tAZHvXPhx2Z3apUywVb2CrdWa/H5V2yCC2lYbunHfL1WEIF+8vSXG4Mzp
RlVhJlVt4aAaDOMkzpLrrlfFhqnqOPS/1x22rfUZZlvo7X1P+BdcRqAoer1WUxdoxO09/F7vPlha
FHX6FGe9cWa8Z6pmUarGxUJ1L7oiTf99mCCK6vr3p97u/dt7/ZL+t/ULbyj+8+G9rqO2qKd/Yf1V
/0+/HYKuiXuCQ4vbG3Qk5/fojPPJ5W6GsYpFJccht7vfD0HvE6XgjoXgis75Q4v9cbmTnyzbVXAk
lqQmppZfMu+q7tW/HIHq+shqlMNYR+Pl2/75COxL2wq8ON/WqAK0EUejA9G7El63ko3Rx7ugYjm/
5xB3Wzr8hPZNInr661FPoNtOk2+/ugRbcWHmrcQsGUbTI/lYCtYM2+0uO88u20NXaZN+S5isAZxL
gj1cjV3bg8RN9at6cQCIMQ2fzMCZTp0yBwAzLAi2jdZ7PsyU3YVR7JqrsA2sR8QS54aXrqx3s2F+
6HK67ELToWJOdkCc8BJMsJuH0ZgSALIwcm783knij14DIXuyfCCgNXocC6f4PxF+///azS744P79
w3H5EhTN3yfk+drvj4P1SQDjwjLAx15ltdzfZ0I8AzqZdD7YNooFyugfWofziX9cLRlYUADZsVQP
24/HwWFrgf9A2TiVz8Cgb+MXtA6H4fLPzwMxe0ZVqcQWQYXwX0bCVitxwHF3rGy9DNYO09oV9S0a
KS9BOnNb2oM8Qv69FISIqQlNJZEWLrnTllnWA/Qx6+fEY48JU6bb9fA7Ec59L+jg63phCiXHYbKi
QYCaMExtuL+BMOf+Stqhmd0NOumkO+Fr0QBEYwSmFccDYxtk4CuAniMPDl7ScZvls3LSYyGnX91r
mC9qEkNeUDPZGM5w73WS0qQ8IrG2NWkvmVZpVSVwVIaeVWk6UvDYNVlBJyoV4iwAE2xQAKuEc20B
BcQRpBff6DPT3DVuo6nfJIUed8c8ctIPr65OXRlP4pLS9mZ6aLjr59dVgLt0O2H9nDc6Bke5zuoq
c85hUzriPPdy7Na65rDcKNng1J9ht8fZ3g4CZzj/+1y5kN3+/vk6vzRYcv4JQsGX/yYnshNUoiGa
IveapZ3mNznRg7bHvYcQB7u8ZVv349rF9g+JnVJiqbQ+DqTfnzD3EyYag1MIFp/NrY2H7xeeMEOF
Vf78iLEFgGEjhIkNCJ+pOpJ+unVFZtRqTmptMcQ3a0gv4rUz4vxxsKP6puwa77IIKkwjprTQ1XsN
v8l6KpqRagN9ikwewRjKk1ZZmDoT4m5QYyi+p4/XcPz5Ugwsr44wQPGVURzi6heOlwafu9rJj/+X
vDNrblvLrvBfSeUdLszDQ1LVBEmRmidbll9Qmox5nvHr8x1IsiVP1768lajS7Id0RxYpgsQ5++y9
1resAmzzxq5Tk3yJngbgtnMayznIchFBkcxxFJll0TfXNC/CoFhKDRMrwitaf7I/TcyGcD/rBeEW
c84F2UxIc5scQY8bjWGdLlAdSLY7RRbtLYnja70lnio8b/IY9NXAjgi+R6j0mZ4Psgtezl9VQsUf
CD1/hjz6BncNIn9P6P0HofxPC9V/MGY7QDLiDOiwg147xaBdV5XHKCqwm2Oe3kjQtgpXAZxgHAZy
0IQnqbAdICjtV43WKceK0dbHvUpCsWbn6h5gInPBmcc/oLvooYIlAPcod9oc6WRYARxNpYJ/0SoV
JwGSLFZGkPTHelNk1mqcSFM7sBijlBzslOCYMUd1a83WiYCg1h5OE46KfDZXEPmtHg7CcWGyK6cL
1QF0t4prcLF7QczJciFlo/3Jl/PqkvNbme6Fs1rPnpV71aziqyEHfgbASAA4llQyZr2w7v3lMOv/
UIEl7aYY2zJac+LQMjeaRYMK1z9fBmw6zhJ+BM63VkgM9UlDBVs3rb+i72MVKfp2UZ+YVauGBxbN
y65hzS7xx5RKZ9wWg++H76UwMAgsZlWGjaZ75BgtNEtvjz2AZ6R+kWWJOH4+pTLN5cSqiMMrIUrp
PXE5o+SW8+m2siJOuoE49OqTJeODyVWO8fOpOLYY+O21tMj4Msc2OhUXLlsY3QQxNqHlNJ+vBzVi
WORlDrMpkoGdM77RkX3cqa3Un1oN8bYHXlN2yoXUWU69LhQn+vjvs8D+sro/Dv0f5dU+D2te1PPC
q4HVXRxNbTKpvxQw2jvDMsW6K7h9lgZi50s9LwjlWC9ApAIIo1wRpf6Xep7psAzhhwYZ/02sh3+w
vOqyqNhfiR5Z9GUyydBk8n+wjrxeXruReYXEwjIYMq2LZpCPBq+NYtcQrQ3fbqONNbc7CAvfaqj2
Nv5EM8SvvOE4axztMhKtEr92utOUmMR8FYlWii6aKi3tj9NONFpM5E37hignFomkj/Z45MxV9igK
bqksQ2baZZW1tuoyLkYPPDU6cstCyISrWTFcC/EwcRToiG2FIQzrj5NASo4stMZ2aCpH3qxArmY1
cqIaLcpx3vTCEHLlNG29Nccjb2UaWNvRRMbXlG0SFom6aE+BlY13jIgGaKSOFJwQtJu+V2Z1NDN/
lNLVrJqWuaxXJYY/EleFqlqeFdZjpwNjmXXXPd7oGzXRg24ZzsJsHaF4LsXNadMlVrWUWC0XmBfC
007ouy2PPDY3gL2x8cHSn6ezFBybPLJw2w6QiCM5UC/tCCHThnTvYEuMAZryZtaXq0qM1rwXsnNJ
M1Ggt0KMzodsHor6jMAQX/K23SxeJ8jYPtNTkuMXqByMPWkWu0NSbfRl04/m2TTSpllUszTe0Gjv
j23EdKS0fPuhw2ZzC1cwuKkh1B2Vva7JLrpXxdgbfBPhJsoyFNydTKwt1r4+cMlrQ7PvF3EN6FXI
+Qeh7JcLW7uahNqfKBERm6M15kczV7ADdMIZUMVG7qzZ5RHyW6hn4MLPbgJCv4KbjD92o9hh9UES
1gM/GFB2JipzM5dwTyndtoPnatAcenKIDCLtVUsddGI6LK7rKI2HJiKIhoSKeNRIqsdAvdbxyNes
3L15piNWIY9ON1MCOwc5zTcNbZ7exWASTK4pRi8wMGubraKW6k89Bfewsvoib5cMH6LxEHCmujea
UXyUwAWo9hrHiQO3VWQ+h770cuWyVihuofhH7SrrrGat4wG4kTB5Hsnk3q7StjZ7Zhu6t6760jyU
mXAdxhg7/T2PoctWC1L1gw5k772nG+lJpPJxtH1b2cc9eIeLiXpd4+tChbxwYAFCqyoyicazHNQ8
Qxqn2x4cjbkftCO+BSmnNFpEzaAVC6sjI8kdm3IkQ53rs0cPvsYyMGnNlRqaUCSYGpIPo4DG2vdH
vqOEeqUDTwpLCTxWdlc5RXqXyOV0h3YSUE7o2Oht8xzNcxBPzXEdGBqOgYQbjeRT/FmGeoxOLdj4
aWMeOSikGheLD9wb/Brw+5Kp1sKlpUa00+gyZKHrT1P2mfMAhoaSboG3N4TS5B9ZgIv806yXYQXi
Wuo+OHGh7Zscuk7UDk3WorYigIKNU5qrFFJ5sGa1MC7Dos/uBppihWtb0VhtSF7G+u+DLOiXdDSZ
KSl9pX3sEgrgRc+0b1qS5qXsw5XQokWdez58iZghxcae7PqsRPrUHMQJLPtFrjcj9xezOHIQCfxA
PpU0ED5Ze2iWq2mDAgzrBORdcA+nzB0tx/VwSlE/eW2asQrahXxkG6jCFm3vk/uj5oa83ymtLIwn
TQtfp9XSOwvdaLes894nyY9uqSmvfK0b4MTrsSzhN/UzeZWPLINUDCLaKtcl1CmZcsHUILxQE8xR
C5gMDzjsw3BB17S+VAGjn6l2mdJyt1FVuyUjCH+fLz9001HuKL/NKipBlkyynBDw1Tdg20Njo2Aj
vrIHz/rkMCVz1lUcOgmmXF7JVdoCHZGpx24qG/5mnJXJdNqjrT/rlVEg9VuUc6iYTfLdlo2QNtth
VN1y+aqDQAifU60Nj+1ZDc2VjujkVPEqgkyyjhW5O7S7Xt7Kcq1dK0JUrRI5eWbOSmtbT8JjyVQb
hPkIsUl4QZOdZWirRyHU7mBBnLdCvE1RXsoLq5KNQ/wtqLtlcGa3xpBMB7UQf5OTaRymQhAuJbb5
MREi8V7IxYE4l87am6Xk6iwrz2aJOZxX5ObKLD1n/WGxkloU6VIvxOnEgiNUN4Vm3ec6E2E3FaA1
haQ9EOp2oNNMg0dmtOLbovbJntK13bol3560cKGQH2exfDIL55NZRG/OgvqW6ygz90Fn3+oEb9Ch
Q31vz0L8WkGTT4MBeT7HOaT63Szbd2YJP+JE70yehf3mrPEXav94Fv6HwgNgE/ugbaSUoX3ERD5B
jI9fABf+8BkqGyYC2N3TgTpbC/rCw2YAyx9QN/+V8YU5jzJ0f1TSg3iec5Ri5IGOgOmHNU9CPDEU
ief5CINripB5ahLNExQ4Ge1exFTl/39pijzHsgTp4ecn/xMAZt831r784nNbTYCWiPCm6jRsPDeU
fY9nfgS6dHaZQ+r2I2zpa1VK5pqh0jhj3GpAgxB+m+eqFGsPwAkB7kdfxIgUeNMfVKVE376uSunP
yQrsONnQRcfbML/pq6X90AVqFYMnU8rzsLSg6Uh5GyxzU7LfW5Gjk7vo3SH2pnWc5CF68NGu9KPa
xiq6GHxJUV006bW8aBTjcxcqxcM0ORDhjHDwKACk2MsZlY6AmCJ1Owq/F+xUvR0PJYy1zkFhGhUj
I43uM+Eusn6NWDjulw5pHd46TBBkbuqqYmeqRpG3GqOSBjmr24wBiWdxoPwY9AAjo2cFVD2bA3+O
NLdaNgincTcqdn1H/TZ+TrOmvai59QkJk2L5wgkaYigRjPoHGP0zAqgaQcqox64s9rnD2DgILQjD
Ta/1MrbMUOgiosLUq8MQvB+iZL1SlkahjRdBBJjN7WH5H+m1ZSaLyCqp0MiCBrdBCzIQsprxpEyc
etmW44j+xVDL6Mwfyq6hhxj5V1Oo+Wea3xuf8qbSLDa3djpltsYm2IwKhHgdBOg9TcHmoxkHtCka
XbmtZbXD1VngiSK12gIoHDoN1dHEUQjUgcVhGrh4sF/nBKDvDb2uylAMs/g9wpZaXSEwUT61duXE
62iUQAEiQTqnPTNcqF5Wf/CcOmg2aIkAHcOiLshdtCkWXTOkDEd5nJF2o7WopRZYu4FgGGCleP4B
bQ96asxRFMAy9YPRWheofQD06nGrTgc4DSbCM4EJDYwBxoztXGHWqvcJNoqR9gSZRL0UoQjp88Jy
4ywia3YK0aQtmOwGuEWGCtFyDnxcPaCjO4oAFXxhK8PvzOOU4f5llCsArEoUrcqiHDLFWDGxtwNW
eLRQS0ZuAV8kR8ZNY7TOSVSMWev6PQqpZR8x3EVx6vR3nTQlCvq0IH+QDYU6tzH1gPgj0YdNRUe2
b9H+LvPAplHLd4em7QDuoaW4lVsxwAQSTJONFq9ldWa7MoqWL+RkpcNF0CrDMa4SWsN45etrc+iy
/WRuHUMss2gjzy3liPCmIwmSvDvNLWd1bj93cyuanFTa0nx4tKj7ZoCYLKUjvIpibmMHc0t7YvDY
YkMXrW5ddL0j0f8uzVw+9rXa2egJBElQ5XTK1blp7tA+z0UfHYMrLXXOh9xahui0F8bcdA81o0Kv
JDvlkpmQ9VA61JYKeuv9EdNgu/q32DXoMLCG/mLXGH/g+WDTePy9500Dbg9TFboWmkxj2GQf+rJp
AKWgUUwrgV1DUWgHf2kUw4XQWADxaT5qUr9sGhagC/oYbEL8HtLTP8QVC4zyN60MomGELodxEKW5
LXSpLzrFOTlERqVClSud+GhCQI0hXsUkjuc/Mc+6yvLAg+HRcuMSG5cpN+FnpyRFWqJaXzeGSj+Q
WxaBNNaxOuwrN6stlGKe4h1aLe1VuGJ+My2H3oIMjgepgouQk5ysoIffTLZdXxoYLD47gj+ewQvA
TFYlV3qspRtou3SYQ0eP9pUGkkDc+cYp0NQkdXWjmPYK28vWjuxbq0iQ0zXBUM9rGkOcCyoY643A
rWexpZ+g3aBP0QBRfF81JSpTyW5v47o/g87ney7pJCaxUJDOF/YYpRdyL3VEzQR6rQBZMsvPfinn
uAiRcsdWHFmLNA28aRVFbGeryHM4sOrm2BTLcLJNF1wGFHuHRaBwixJu6YIw9vyaRDJ9Y9DCDunn
AsvPiD8+44b2PnSmMxEXY7eQZGfjVzSbwGrhB0uEM2yYTWLTbBhzZvNY++gkg3yOrSxXqTPdqSw8
oR4c43hVpmzfVLN6DB4Zb1pOyuJdaY6c/AfhXfPRmWubtCOj9EqbPW7V7HfTZ+8bWgoW8GIoLWDz
xL9FC/pgBcbdsFYd6HeRLJPKFmr9dK9EbdIeSXFXgLmerXemcOGhMI4PJCnJiAljBXP29UJhbzRy
TU02Y6p5C3NsG3NpwMeFIRsNEPsGfTwo8zq5zi1UT31p50szk5OHsei7bdRnyoHW5p4rSc2ZZtO6
Iaaq2J8mO/5ocddtlYiDIuSlVr1uiewz1qXf44WQaBXB9O/UFWJdn6Zz5w0r7kb/nrzjcEnjTdln
+YfnRGM5Zu/yCcOqAw4+Y4BUbBq7EF52W2yH0FFISjDyh85o2IHkrlGPsBY6rKJ5f6qwCWxj1uxt
11aW245DsOnjpluNfqOtcM8TukzvaluQOYA0abDs60zrzvpQOlLIp42AYFqYgqf4IIABvJHk0dhH
7roxexr5UOzykzHoK+hdxSbqE+kkgbvv99INLR7co2O0JzOO+gCM+CzH+gTXyFTfB5pOBGwhVyvo
TMNl3Il9Hk4cMnMfg62Gq3aM2W2lsBvWozld27JNUyqr73V/UG+lptnMf5WUEZOAeB4YZzQa694Z
THKRig/iHwRNfxZJyjX7U7gItaRdm6xxa4+wIqBcerRnYZ7c77XssPeN6ry0an+jG6a5VuxRXqpl
edYxHiUIgja9gG4c4fOZCK2Pj6GIHidqGazzsLvPNMgSXq5rW7C3x22IEWphkJamN0CZjanHF10S
Q3FgD0nC4CLsDmyFm18pUf9pcGFujCpVrjPs6WfcGfW9maqDOwTlpk1kj4C2Rn0wy2la9fRtz5tC
JmIgCryTHADvhkrjAqyat0ENay9Zx6/qeIrOqMhQTYzyB9Xrjgx52FjiCXySuGnNMRrOAxCl+uhr
H6qM6segVyj+RxNlxwOExP2srchu0Rp5laqyudGCktxaCeVipsQ2DQv9WmocbzmoNAoDy7uvYMVg
EEuOGzEY0SUvOcA4N75H+2IxzHJIGUTJgRRNPsMLFi7STvbXkWLdj8J6o4WhdpmWrXSe1k6yVNsa
erdmXWe1Z7d7aPv5+AzNJ/vIKzddAiuFuKtPZukQIkNV6qZ4vOlw+MdRp59GnPb3ME2reNzGkkBm
IYH2jMnY94auXFUpYsrB/4Rcea1MKLmqKRh0zN+D6Ya1US9RSJKIoUtno5L0YF37AV1+H1xqKXWP
GuvTfoaCJVuwQio0oTILHZwhu75Td0vsUuYi0as4W/z/r1GeBie4Pn9RpZyH3UP1c9mI+OXHUsV6
J/iGnGLh08yowy/nWwQgjk2SnI0TFsUwJc6XUsVASiwza3EwtsJGRFf8pVRBhkKTHJsr51+cNwKp
+CfnW/W7qQtkEfiLTNQtler526nLoGUjxVTiEkEkX7A1NO/TLLSPNISQ7xMLs9eiU+VB3haWT9M+
o58O2aCT5Csfji+EnnCEvtkkVb2NfLBQLnseOL8BAv2l6BrvqwPjVbeIe78/cXKDcw/jAfaMvguL
OzppqrlWO9vG49UawyfOQcNFoxu6Jw52cgADOSdzs8R8QOdR15eyHeQGLJW4IMnNKMgXwfvfHw2l
Oob7gyRNtKs0oaLnu6/T5+R06radhYRx1MOGvndsBFDLoXqNq8CJwo9eZGo3tMRSmWgdubNda6Tv
sQ5UNSW8hiGs7ZKobOoA0iOYNGHmte+joSKXsukltVgAkZX9rREljVsS4Swtstpv5TVyoZGbtku7
w8SnfbXA5QuMH06Yd6MyuSH/W+3ZsoOeekfkp0rnrdm2t2WRxXR9dU9Rjx2/rNmZzDhrF3zHmtOw
96CGYQWlZ64ZgXeEkjLL9voWVuFiIHPqsIe9ny9UIBU0xsbYQghDxDTRFTF9ewDpWF/dzlADYGCE
WG6IbzERMHNAOsQXMd0hhhurVe6lpbnw9GIyP45h74wLrSubYy3o2vdVpNb0c6HkEgnU9rFxntNM
3suQlU4rXLees4i7tHgI48LCEVFzql54TBfiPdksIxw1smowR4afhJ64c71KLj4HjddRnOratdFO
IZbCAiUebj6tlwB0OcNVpjh2yyIFQPLfaH1iIfn5KeqCcr/5wUHqeXHjlx/XJ4x66Ga4gAaaTmoR
gwHv41FKf0fJZrDSMPiFUs5s+Mv6BCEd0A2AGgQ3YnUSfcCvFj5+RxyzLItoa8ytf7I+YQv89igl
vPkOpn7+QjSoxjf9N0syCod4sRWWnZ5GRR9nGzrJhwCghqucEcwBfLP8JusD6Q4WV3bIux1vezRt
xy3aILcKyCOz+iSuwV7EymVVK/a+F1KkmEFqfBadfuTfRqmc0D3BUmU13j7JVMaBn3cjlm3TQDbf
jdcSQW6rJNLUTyXsCVAu3XHeqYkr2UQbLdOWO3IENXQQIbK+b025ptE2xf55CPLF3vdzL/CXRll7
p5Wa+yRBymG+6mnX6AtrGPrIteTBPugpI/plbRQS45Nc9Xy3YVaZw1/xY2qB0kTA0+aVzlTIVtrF
NA2Kfej0E3gQzcyA/JSpjJs2cuT4qlWsvNsLm8kUDaBUPvXU3hvcnKI1c+VKCZk5e2bzARZzW+2P
PsehJWZpm2ZhFXeXdgwZYVEpiXVRRfCJ0SR5ERsCM+W1XSfWveRNjcMIo1bataRO6tlY+giAYp9p
1Aot8RCsM2kYCcEitPKy0bycIMzcMA8qrwWu0atpBo0v8oDR+DrDJ7qCoffAtKS51O1uLSF5X9h9
Ep0nUggDewysNF121iRfdqOXnVjSpDduDrX0Mhj8jGwXS0lXOUD309JLm324jCRkZamjjauKkROY
FH06HPraOeoklIiTXoL8Iyj0JCdvplkFqkN5F0tB+2A6Ya0deXKVfe7aoT4P8H867iCFXrzXOUmn
I5uhWVlm68owOvkBgaJZLSSbkMM93fLgCpBsyOFiVSllNBxPE1ibwzqtlWjNXhXAG1OLKHVTIy4m
CHu1CVKfxJHqqNSiauI94GglNRmw9cKPyTVcZgpnR/rHyUT7NkAolR9gvGgH2sAT0nkiNvJxGQyD
V2/zqjXqbddr8GtIBFOn97bcE87SdeWlgTxNQQyZylc1hpL8htST2OSESWd7aZemca6rNRS/oMR+
qlbNeNSVMlIrCIab3qlFd06KcXGoia8ZiwHod0z6zSCrh1FaD5shbbIjpTKtLUJmay9iJrrXgzz7
WFutVS8EXPmjNHrxx9h3mMT1TcyUFOQKCB9JbdFyRuYhSdbBiSEVyDMgBNchaCp14EBpeGFO2F9h
0joIqprvVBBvcTVqy8YLIKyTNcpMkCGOuWLCT3hM449BTeBaYyydYNQ3Qw2KZzEEtX4BXkDZp4rR
7jkrTCdQ0yeV1A4iUgu+y/eV14C3AvRS2Vy2wAuZBqoIYBtPy/0V40MBzdFbygRWTfakUmYmbqXm
FvCvsd8RbSIIuqa+F+te+BEcfDzuO1rLXtcZcn0+6jk1gga+yVnY5JOc9FaSP/zbFN0C/vrzTe0k
u//5liZ+9XlLY/rD0VlU1ja8FY2a93lLY6+yUGqbCg5zdq+vxgXEooaMjNRmp6OoA732ZUsz2OwY
UdG4pYjnH6An/4OSm6r+ZW9QxY5u2ioVP+xcdkn5mw1NqnVOgYA/26ZJ9istGjaa6BUHuAZJwOKP
MBZe32FXfXGlTh91VP+BOuQ0D7Om/q//ROP17QvbMg54RjrCfUFvks7oy6ZkZthKhZHJVSwk0sA1
SlwIgW6Gx0mEr/woCKdJosnnV2ejWeIjy/yyUlYNzbKzyUfQsYDwf1FJsn41qnIe4KjKxg9YjULb
jXs5ukH108CSyZWAHMO8y+5jqeynZRh1qbfwaiWnPrcRdLQmY4llNfasmgzFQNg1YVdANPtgxJ2s
wgsn5hOmplNJhw1o0nrhBwmDXdPIsysJ5MZnuwc+uSRU66MO1mRPQzaWL/xRJ6ZU6WTgOalPM3EZ
cCKGfIbos6EEmMzStXu5JmxMF+JNG64YYcolpbOZF0Qg91yADxTiw7mKOGVYBlNLpxUuqjS5GcD2
0c1sgggAqlTIwzJfVKSjcs1vdChFxBRmGu3DHJTZpgjATxapFR+UXajnbtwp4dXYKuOp3hbWR/p/
wy0sT6z3mopDZG12fhXuGa2q7FlQzeCwlqRmSsFQxgsvSzvYFzV0GMcu9FNiRyxivgwiYxdqVBOW
KLdeclFbWtsskcFZRcv1rstBgsUKY5MOcEs4zEZCOKVtYGYN+TFyX9FhGBVJXgt2/BCmcbZiswwn
1FJA4notIv6IODi/QMxkR5chg7tmxWAHqipweeZuzGc02m9Tdeil4yhUpWYI5NYL4sgNZQN6vhaQ
OrNSRXm/pzWOfhvmqbKVLKXzXDObZF3A8SxlIV/auVU62MsQZ8R+zQSznKeZdomUyw2broE6o3m2
tyZ+K+qXbPX6tY11F7P0PB/15llpJbf9eDiWEjNUddS2NHGY4swT1iRrHQ35r5i84h4rHlqmsdJU
Mpd1lJgZbTPPa0tABkdBrTDFjeeJbs9s1xRD3t4e7feSDHE2A64/AkPOwvNEh5JfD3WCy23gdke1
F3b2xUDyU8TfAQYN7t7QJtt/m/Vd/2VTZfGQtQ/fKwaezizidx8XeIcFWRi/aFzgFBCYzOcFnm6L
GBoK2gcdFN0UiZRP4x9yLFnhBGBWgDUfndtfrDg6Jx0wISirmVqLM9AfLPBkRH230uoyyCCmTEi4
0SCILeDF+KeL2rgiPBqxTpuv6i6KjrowLBo37arwAFwn8ThIvz9pjQRbUGtaO19JviZpawexSy1Q
h8FdTfZR6SqNkxaHAebi88bP6quB/QTgdVb49aVVG86NnKFYdC1HihRmQEPkbekG2MSXaUxt131K
Hht0BR9cQZSFcrdfRFnqAzSg9e8v086YaI1WcdJeAnXKtc/a0Lecc/K2XgFsajcNuiHjAE1eDNTP
8aDnCSdCN5sShD0hmJ0Ko455mmXb69UtVj3cDPqjtSGZfQ5+heUBtVIy7NUSaoqVxtxCWfm5jvZU
682xO0oYcJUursIpojD2BmSDgL9kt4u5uz7Zsz68n7XigCPRjWeyH+R7JflHwTZNkmRDIKeU7Xn9
bO6ejd7mbPpWpLTWtmwQ5N46OANWnAR9zY1iMpBIMmAlWcbCOR4aAORpt6jJxz6T+2RZgnB3x7Ck
kLaR3J37Hu9shcJQHpfWbEqP8sla4TcuII4L1/qAvX2bmhpgKa9gHW+MB6LlSJTyolSxFpFtxAwt
JIMSOiJpA9uuFIQXTehIn7UOwzsTFbljR/BAyyD2K/j0deT9oQR6dOU02qSddHVtbFQYIaRvxuVW
obV0qmJ9WptwuCpiRjRldDUFr3ec+85hOujSuKy9IAK2mfmcYpvUH5YtC9Z5naTDh7aW5POKwdRt
o3rhPYUFqacAR/QPJOxZsI/5yqxDMrcoUz2os7gW3aQaq7USKeatgyrv0MtQVjLdVNiRA8ZbEUCs
ONhjVzkDx5RvfKQOLrl7740KdpijNL47KGmyqozIP2cs431WnFLj4KBc9WVzF8tlsjGUKvhACBIT
0MYsVr1ILY8MI9/KdaWvcW0q2ygPbmKYqChVR2kzVeqxzAjzlLHmuGStvnMiM7kQL0sW4V3hK0dk
kfnLCC/puira8FBKg3uvMu7KNHnPeSPeVmY6LW0yoatCCTgaJhD9jT7iUB01k3+QTOpY7hXDNHya
mErtabWXpit5KlUk1ba3jQg2vKIwgNSVRmyintWcoEaLDmPfTDZZbR9ZSWZUi064ZNRC2Tij3a2y
upX2dHUkPdpKyuoqYobmL8ygFkHMRuuGpi8vI1sfYMlJXMYkeJ8WkbTUSoU72pni+KyviTsZSCBY
1ZOPfwV7CT19Io+kVPMPk1Tn16DUnLRBdUXHNlxUTFzdMu5CjHymLX1E1UCEkWocaXT61rXdDy5x
6fkH3yqStVTGa1z3XuG+nS1MxCr9LByJlKWvP51L5cv8uwSl3/pHv36iP0pbEj2tV4ee+Q+b855+
9TykMIVNe0+ck07WMq5rDZna44MDT5Jn/tOPoZnoCp01drjHB5sir/fiOv3sSvz6TX4fRvX987x6
A3c5TB0RYuWDcmcz/5raaNFb/J1L8M0zfL0EDjRPOpXMSp4uAU/46hKId467+vnHVAz/J5fgr5K3
DD6637kQ3zzPywuB4GLumT592BzzXlwIRSVcizpH+HUeH2/0QogUmp0uhPnOMBifAXN/+kbwhC8u
hPUOeABoVuX5Ovxf3RTffJIvbgqsByByYeDtdiEMuAs6GlsuxuPj2wthiC4/7f2nH/OFeVu3Bn0X
WRGDyR2/D8w3NVhOQjgmHjzhi++DiaQYG5vOuO7x8eZWCFZvSMa77hUsAKyCxiyZfvH2ReYtGjjE
dGjn5sdb+xY8nwJ/c6f45rb6ukCa72j7mRjJn9eF1wuk/Y5rIKBfzz9+/N7972+W37yB79YFnd7l
TjcEmGvWF5qBurjBeLyuGvgxGgOGb+rjAvQGr8Djkv1NQfdHdRPKDIEZhSEzPziov7gniD8DRspe
+rxwvrkl4fme2HVtNAhzo19C+NvTheDKvroQisXKSLPl8Ysiv9ULwbB5x3tCJbzOwo2i8hZfXQEG
CtQLYqowPx77WG/wnnj8aP7+PQGxhigbwIfP+8Dre8J4x8hNkGyw3cyPx3r1DV6IXb8KDIRErTB/
G+Z3+vobYeAzIqZWfVo759XzbZVNz4vDzhXDnMcr01T9ZoNQSFFCnWaKvIU3+da1XbdI1kWawUhn
efPz43XNiG0AM4H5dGZ7e/eAkA3uViJwWoQwilzj9ZnBeWcgZ5yxO4/X5a0entRdvwEMFOAGiUnC
0zeAJ3yxL+jv4GlgKoGc8fh4c9UiUw3kU7teBopBJueGBuzv1funtYQKVVXFyOXx8VaXgscN++/v
i4BQ0BLYIH9ffwNsJk4mp0a0s4+PN3d8ftoHvqPg/WmXkYYKIkBZQzrx9Hj1VRAQGYuqAAzd4+Ot
rgkiBGjXVRHto4yS5GsN9GJNIHRIBWDztZh+q7WiwPzsdiEUmmgYhS2B+hSP1wUCAlLZovf0XEkK
gfvbrBN2LZqpFVHWcExE5z8/XteK1NQ2/zGtN7c7PK8Nj0f8v786wnaFCkd8wot94MUtYb9ThUhY
0D8eH292bXgsZf/+hXDeOeABqQderY3GO4pERUaT8LQ2vtU74TvTy59uErqYNZn0TZ4+aNEqePFF
QG1O6hoX4vnnb6639AVPsdPKSDcZNb2QlHzdDF9cBk3cLlQSSIIfH2/xMjwarne6DNz3CuOoGeT5
6u3D2cHe9GYPjt9xTf70NnDeEb2jEQf83CZ5XTYzrYSHSQ7AWy0WhQ1jp0+eeQKzNXwlX1qKr9YB
YjQUGssMbJ/uj7e6M0Ip3+1CME/ARqPxXXh6p6+/CRysLJSRGvaEx5XgD3opv9Fw+CJlcIMwuV+J
gXv4UM8t8sfp/V/+g2cJwPdP8M38/tU/vByLh8enfpxbiP/9368mGrP84MUPn+UI8+s8/frTG/z+
pV+91vO7ev5/bkJg99VdACWFtzs+/ZnHNylKiZNfwyXmXxAv/l//+eqPffEd+OWz/wXwaMenP/ir
bPNdn//mvv1R7NuXFsLXj+vvXR+3yuv6P2br7PcqTzHenOumXV9lkVc/io39Mj7d9fn/ld2ktz8K
mRc1zTyn3vUVPt2kn38YY/9Urosxx66vcZ3fPjw/y/Ze+AVmtYGYe+z61Jf87bc333/Czy/Bkrrr
S/yOvXHHu+F3HN47vsQpU+mHm/bnV4pj0q5X6qT+EYTt+aOgl7XzC/ylKWfHq/QbfONdX+G3EPU7
vshv5Ezs+AoHfxlutusLPNze/iI+7R+4rw9ufiN6dNd38Zep4ju+wH7o/zLv4B+4q7fpL4xw/8BN
TYbY7S+cGIwUd102/jiTaMcPZZW1/s9XWqE23PUdgWpqfn53iFyKnV/hF/ZHEZC08/Pf5tn4i7fw
D9zgy4ek+XlpoHMM3PVN/IaJaMev0uJmfEjqX7yLf+AGX9y0d8EvPop/4B7/V0woy5bAxZ/WH0KY
vuvH8a/7m/RXq6EYnu/8Grfhzz8NoZ/99Qv86Jj5RR7//eHzWfb+o197fbIW/+Iuebip/vt/AAAA
//8=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Total Cases of HPAI by State over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Helvetica" panose="020B0604020202020204" pitchFamily="34" charset="0"/>
              <a:cs typeface="Helvetica" panose="020B0604020202020204" pitchFamily="34" charset="0"/>
            </a:rPr>
            <a:t>Total Cases of HPAI by State over Time</a:t>
          </a:r>
        </a:p>
      </cx:txPr>
    </cx:title>
    <cx:plotArea>
      <cx:plotAreaRegion>
        <cx:series layoutId="regionMap" uniqueId="{C8DF41C0-4BAE-465B-94CE-9EE004FC4F02}">
          <cx:tx>
            <cx:txData>
              <cx:f>_xlchart.v5.14</cx:f>
              <cx:v>Cases</cx:v>
            </cx:txData>
          </cx:tx>
          <cx:dataId val="0"/>
          <cx:layoutPr>
            <cx:geography cultureLanguage="en-US" cultureRegion="US" attribution="Powered by Bing">
              <cx:geoCache provider="{E9337A44-BEBE-4D9F-B70C-5C5E7DAFC167}">
                <cx:binary>1Hxpc+Q2su1fcfjzo4wd4MR4IgZklUp7763uLwy1pCbBDVwAbr/+Zmlpq8o9vs+6uhFX5Qi5JRSq
QBxm5smTCf7zevrHdXl71f0yVWXd/+N6+v3XzLnmH7/91l9nt9VVf1CZ68729rs7uLbVb/b7d3N9
+9tNdzWaOv2NIMx+u86uOnc7/fqvf8Knpbf21F5fOWPrt/62m9/d9r50/V+M/XTol6ubytSx6V1n
rh3+/dd/fzNXv/5yWzvj5g9zc/v7rzvv+PWX3/Y/50/f+UsJy3L+BubyA8YZCjkV6P5Ffv2ltHX6
MCwPOOYUiZA/DNPHrz6/qmD6djG/vHdX7vbx7z9b0t2Crm5uutu+h+u5+//u3J1L2B26tr522+1L
YSd///XcpLfddgdMb6P7ochur+T88O7Sf9vd+n/9c+8PsBl7f3mCzv7O/XdDfwLn9Cq1/V9txd9D
RxxwIkJEMQsfXjvo0AMuJUOIPQ6rx6++R+duNc+FZ2fyHj47Y68KoH/fXFVX4wsaUAgWQkIp+SNC
YCFPDAiTA6oUVoo+vmEXoof1PBekvel7MO2NviqgtO1q+7hXP3Mqf8+SAAesJKch3oWHHlCkEKKM
/DCwe9d6b0F3q3guODuT96DZGXtVwPy7GK9+Ofpmq5cDhx2EDClBBX6IMrsgyQPFMCGCyweM9tzc
jxU9F6g/fcAeWH8af12A1VfVt+4FXZ44IFhRTIV6wEPs2JQ4ADqBATL6gCZ7vFMeOMP9ep4N1u70
fah2R18VUPrKX2fmcbNewOehA0GIIoqBh9u+ds0KowNEFEQuApxvx+ndreO5+NxfxePsPXh2B18Z
OvNt2b+gGbEDKYA5KP7I3uSeGQE6CpjFIzPfMyN9dbeex43+zwnBz9n33vQ/4bTz4a8KqPi2dC8I
EwcOLiEFQk+izxOCJw6wBF8n4C33rz2Y7lbzXJB2Ju9BtDP2qgBafbP1/IJ+DiAIQxFiKR8g2KXg
6gDonQoRfhyGcPXU3d0v57kQ7c7ew2h38HWBdPOC7FscgPkAf/vBsnddHT8IJSESM8hl714QqHYQ
urHPhuePqfvY/DHyuoApjHtB45EHckvkwLs97D34ryfujR+A81OUPDCIOw6xA812Nc8G5+nkfXie
jr0qgI5N+qIKw1ZCIJxQQXe1ua3ygCgJySN/2EuL7tfxXGx2Z++Bszv4qtBZ1T71j+7lf86xQaHb
aqchfQwuuxjJA4YZkAf8qP7sYXS3mudCtDN5D6GdsVcF0Dr68N/B878o4J5cud7UL0gfwXq5AI2J
PN4gENue+FcJKRqST9glRMan/vVhPc+9Rfam790ke6Ov6jY5tNW3vyw6/E19EIFOCxQ+3BcI8QFB
gguh9jjJ3fc/F5adyXug7Iy9KkiOqhekjJB2KR4yDr71/rUrMskDJEQo+B4qsITnYvJk6h4iT0Ze
FR4nVzf+RV3Z1kYIpwTvBznFKSWEP0IV7vuw7Tqei8v9VTzO3oNmd/CVofOi9Q18oEKmaEhg85/E
F3UA9ASkWPyo1e4VcE+u6mdbzNO5f8Llj499Vai8M8Nt94IVXLatXQhQ8h6yK7SbXokDJRDUPuTj
+J4Ue7+cx5v/nhj8jLT+XOPbnb0H0e7gqwLp5PbbtxdMgTEGli4kl/ynOjk7wEhCl8RjhTDcp2jb
1TwXortLeZy8h9DO2OsCyKYviA9IFCELQQYnP5UoQFxS8J+Qe7reCSzicWf/ruU8nbuPypOPfVWg
nF/1V9Ct9IK5jTpgFFyXeBr4d2IPAb6gOGQ396+95PdxQc8FaX/+HlD7w68LrG2b0yON+pnH/3vp
TXgQUiKgxr5DDvgBEGgM0Yc+cOw9z3bXa/VsdLZX8Dh5H5qnY68Kl4vU1y8HC5TKpVLQ1/DIzsBC
nhgQ3doXMDr66Pj22MF2MY87/Hc93NO5e+g8HXpd4PQvCQ70PjLFEPvR5rDLrNkBA/BA2RF/JKhP
lZsLWMyzwXkydx+cJ0OvC5z5BdUBBS0o0HfH0b7BcMGICvfFmov52UnOk6n7SPzxoa8KiDfQ/Xt7
9YIaeHiAuKJsayz3r115IAR+RgSB/q5Hx3nfB/SwjufayN70PXD2Rl8VQO9tYd0LGgumIJZhjLdF
vvvXTpThBxRDDxD60aG6x6Pvl/NcmHZn76G0O/iqQPoAXPrbi3JpOEGAKZjRA0a7RgTNWpJKQal8
6JHcEz7vl/NckHZn74G0O/iqQPp6VX0HnB79zv+cR0M1B92Vysm+jsNwCJU+aES5f+0x6YeFPBef
vel7AO2N/p9G6D8t7il93XnP3zzPAsEGYhDl4rHcxnd8nTzYwiOhFfwhVAGMT0nbj9Ml/3k9P5fa
fkzcWfz/+nGV/1wJ/XHoJ75yV6u700JPTrP89ejjMZi9qQ879VMrut+vo5vff8UCQ9cpo7DxP04i
bT9oZ593pK2fzr296t3vv0Jrl7iLS0KGXHAGFGK83Q5AagTeEPIiAhScI07B4GrbuQwWQA8Ig9aI
kHOFEWcCeHtv/d0QAi1v2wiGKXRdKsTkj7Nab2w5p7b+sTEPv/9S++qNNbXr4TsZsM3m/n3bK4WW
P2jKYLAsLgnihCnw2c311Ts4EAZvx/+vbSTnKVVx0hbMHbpM4CYybVBfD/3IP/BAlElU4SE99mEr
VqhTpovoMA2lFqaYLppgosdwZmz4VI1ogj/6rE3f4Ing9EwkYZAcpjKYWJQtS/1dDr42kSK5SuKJ
WGZiF+Du7TIoejsMLD2eUGBclFVOnLWVMZtW5PQ8S2URoWL0b7qM049psbhzhKfw1NXTp8KQ5dDN
HYpYEYZu1TC+XLdhU127zNnrJBvk2vduOkypQ6kmLVwJ7vJERtSIAGm5UPe5yMq80FPNs1EL29Sn
7VDBWLC004UakLKRn1l4VC2CxCZMhlXaoNlo4+e5iKfccXGc5Ko8wijr00NWyanSE/LLeRJWYaqz
lqRC0zYoqLZo7t77onXqPMin7GrOg+qCtpZ87OqFfAoH0x7lZrHp4TL14rTmqTgNEUvWpErlqJcy
96ukReSMzWV5xUrm1jiBvyG59I0e2sTiD6SulkpnDJVZxAuHu0OBXXFm5okc4l7k86nx7XxKwpx8
KHpsNkNgxmkF6+m/JrJXdaSYbIRmRZF9JJ3KlqgB3MsVyvjCYlzX9HBGuBYRY2VdRsukxFvbNW2v
XUfmct319UJXczVad+qrZjk1jWTvpKyyyxkhOBTX181S6KRr56swCPM4L1yPIjtj61dTqKYpEi1L
Vay6Kd0Eed2s2sb4z2acJ3uIppQX77MqtEM0pQuroikcXeRxuuQx8WPVxkPGChYnVJjzUDX2y9jP
stchzkoRm3YWedTLZj4itMYf50n2TDObVB8kadWJl3ROdSjrbl3bchq041Nz4m0yrJn1o1nJruo/
5p3KB21wsUQzyB/f6dL7M5L3+UW3TFOvB0wmEhX5xPsVrmbxZjaAjQ6noFnb1NMNa+YyKmuK1g2z
5Gs60GzVpsn8ZbKCr9Ogmo9kl/ATJl1yHNDRR5y3+MLkHRr0nBP2PTRZu+l7rI6BGKMPNLd5H/cZ
D7VPJxUN4F7OQ4Lmb7Lj1WnezMl126r6qqFLcmLrZPosmuGUjkW9mZJp4KtJlva2KPvggilXh3ph
1gZ65Kh/14R1NUS57Yr5uOj6/JJZwQ69xCLV5eD58WIHcTRDGa89ChxPSLzQrooH2TTxFNAmXQlR
m1IvcxmYdVp2vdJ94spctz32N2lip2vBSkRWvpTLBSstveGdwMe4Yex9aLg0OslmtsHjzOPGDaaP
517ls5b9IlZ9X+Z91CfZ1EWdKGks26yA/fO9znEjsDY8MVYnkkwmRkvmTBTacPAaTSy7mIpcnNoy
ID5KijIT62l0xacyDZuLdEmKywrL8hLxTPV6Kl17STnODud5locNN+qozGl9RpNl2nTBhMjpLGhQ
aFqmlGsUFGzUI0t4rRmVxWZskdCkp/NZtcih0pT0+FbZSrxLhgy3seh9LiInR2qv5Ligz8KmLT7q
srz9EKKR6HbmZPk4jpSBqRQpyjT2jFW6koVPvza0WpazKeeVi9QYpHbjU+ljz9pqiQlrFnOdd7g3
cTWllN34yfnyOC2GuXgjA69U1HkBzrLuW4eOk2Ye2gjN0yI3ZRu0Yt2ipYC7Nl8sjUg1oeGEZ9Sk
UY8WYg7TVualDo3h00c15LXSNeejaXU2ZNXXiSSOv61ZXh4vSdYeT0kA/kiKJWc6Rxmr1z2uPyfI
WLSyrEBBZItp7lakgca1VdF1uQOzDDC/RiTJvxVumqPRNvS8HXK/aI89quAeMfjYjSmutOSV4Lqt
cYfOysRXdeTTEG6Isk9VGBm64Dd5wEStC1I58HBGhTxKSgcuvuUiyhKflLpbOM4vcF+FDBBVQRGp
YepvxBASd9KXU//Wlg1Tm84maRHV7UJyXZUNPh4sp0vsS2h91Gjs6GXT8DrXKQS0Mc4bPlZ6oKnV
Tw8E78T3a9vMnUmzh+PYP37910VzW7933e2tO7tq7g4K/zG2++sf54i35ObHoeI9ynR/6Ps/8Km/
HNwhWzuk8pGx3pEt+Zc06wcrfUKxtjPuyRVmB0JKaE2k0L+ogMIAh7pnVwQGgFdBM5Tc5qOgtD1l
V6BYCzhIGSI49AD1nR/sikGvMPAxELNluGXYMOvxynd2H07GP/z+lF0BafwTuwIeCfwNvg8qsFLB
8p6yK1n2hOU+AR+Zm2aCqDmBhVBiUXi0lGhW541Ma6OnwRTZmXfSuZg68I5HObjwIuoaAVF2IqL7
IIE69XFTjOl4EVqepTrgpiVGp75F6rhxuM5DzQghpYUZBaIx7psl020FpGpdENnlGzmznEcNyq04
Y3U/oggIZWB1Z5DnunLBjLUVwEOjYcplrqcA21oLitmk+9IWTvu+oGeMZ8HXJTBb+/IjKjXncj5j
fZh+LXJD84hWZB6iWlQNfF7FklGzsQD3X6hUNhsWuKwCdjFWS5QnJDcRHfOwi2cxOXAWuRyddhDc
6JoOwoqVQKaxUdAWYt6wmpWXoSzIOcuYxSuXlimEXBdeZVjxS5s6ddMkJOyifube6Kzrh0LP3mNx
mRD4ys8pbh3XORun6mwmZVgdj0NRDrq2JJGx54ipI6A1s31Pl1y4eGmWkawKuYR9JBuplhUasiTT
Offqk7U9xe+5zfxyxvPOn4YiURNgGJRNrU3vl+OyTdr+ou8TVB6R3CunG0GKEyLo5LTtx+myThPl
122oshGIw1Qnn2yWD2w9hkFWbSCqdRQcR5vTVWv69ls31xbrpVXyOhN1kkWIzOzTWHH3BRkX8BUu
C3foVdu0UdbU6rpPrO3ifDRjf9gtBR8jhCvLdK14hbRSaXeScx6MGgs/83WXCzlHBTN9qdEsBqkh
waAymjAs65D3AjhR1/p+42wQ3GRb8qin0ZgTnPTZu8CZ/jsck/joTNoUOusxIlHpVNPoMlfmvR9t
bWCDinZdlniiUbB0XaDFQuhnYqcC64KhCuL6zPk7z4acaPDvKI1MVi7AcEsRBjohY0+0m6rpcqqh
dTWaWl9fExdAcqKoA++/CL68bUvBYW0Ym2pNqFW1LuthKSIaou42I1VynYxVfSEpw98MWvJy3ad2
GrWXbT3EYkh4AT/N+FWB5bcaeUS6wwQlvtFmDqnVfqqXKxbw5mKg3Ke6bbtp0cVglYsRsLdQq6y1
i86Iye0xcR3ttUHEmijlPR01SsYZaWIWvFyWRZpcVyNmQCsqS+oTrnzawK1bNf37OiUsi2UCwVUP
jhRvcM7Ju2RuilMcLC6Js65AN207kGWdGgH5Rz/k6jKH9OGtEy68tFKWtR4aLM2RLamzR9lYVhdt
aVEBEYskDExO5k0UOpXekn6GZIl3rUIwOC4k6ls1V5pTO6ZRMk3lxzFLsxBcWbb4j7kt0y8+3+IT
lrlhenZYoVjMI7i+yZQE61JMttQZVS04KZy2Z6HKq4+IwLetEpnPn5Z5pNnFUPWdgPtQ+OJdN7Eu
iSkKRBEnakk3jGTteCjglLVbpZ2YyhXPx26OfGtZGtOgrMCgWtEhXRtWGh0mVdrrwsuQ6CD0tIlZ
jasqboY8Q2vIgDOvU1tsry40gY0DZocWrncwZ31AKNMWi7DQeFFNAqkITcR6lsHwJUDSfqlYS7we
x6AZdAAJ3hi7CUiFLr2ac/iZukkL2YuLsq/Hb71y3UkD2Uqp05DXThdzMzVxLxh9BzfshFdzUpWh
ThnLxpWZW1HGhgN7jxswuFpTurgxSpindTQLlY8rCdQ6u0gylB11hS8WvRCZvjNtNTg9JYtf16QF
n9wygEAB6waGmLZ9dZYsorYnrirzCrhknvoVgxjkdbHwvFqrpHLhSiRV/dWoFm4Kb9Kpjlwbynd9
EiSL5o3IRFw6iHdwW0/mizHI+AhSPqTiEEztA2PC9XpJqD1OKoL7VZEqnkcpaxKnwZsipCFm+E7P
LeFKu6ACYjfhMmjjMrWm1zYn1SfTZ0kdS4c41i38mCM0oeYTMTYMgKUWcPMNBtUZ5FAV/5K5rEij
0iYm7kS+QCqFm6zRcN6O3UyhQa2GWJ9/UTwRqD5iY8/H8VMiKjBoLbIO34yuqs/9sphCE7zII94X
1XCYGFJ8zydSnvNJ8I8kMMuX0pPuOgvAF0azteIG9z5I9GwR+jTZPJw17Tv7naU8OwTibE9KvCxf
DSb+LExwa3WWWBrqps07G7dtaQqQWyx+N7sFfxY8TzOg8rYI9QizL5OWjlazkCzvChMs34vADcdY
ghuIOgN6zQhc3EcgcoQXjFRmBiaNMNdDR9pMozazkL5mAz7iXsI948dCgGsEo4Fsyo8DBUMZxIci
DVARFV0iB10mzLVrlqeNj9nUbWkqL9BZVrbZdT8FhdJT21AW8bKc1dsUWHQZ9QZE//MeHkWURkGq
xhm0lLyuQgwxfjD0qgiRy2Di4rA/GUlaTW+WpYKsWhMxenWahngoTkUaDJBSgwNN6g+iNK6IR5Uz
uAcKOSUbXwQdGnWYVggfzQEv0dtubhWOJOvKKoaze2EdF4I2Z8q2qjypQcrqQN7J8bVU6Tje4HlO
W0jzkjKIwQNX4JnK0Jt4HouEbmfOS1TOGf2WlkE+RhTNVZ+AK2KJi1tvkiReJoeSo97PPvssFhew
VR/0df7BzUNt4zLJUb5JzJgKA9oYIjiq+AwbEzoyA+xLPyRfIVXr6QqNdcg21lslrR7CcmAKHFcZ
tvW643xAt20BbkwHcKgNHYJaEYxLPIScuVFzVTF1GhqXzN9dOKHivAcH0a0drVR3ZorUdmcJKvLw
KAsLvPBVBdxiGuMF1ahcZ2Pj5Ula5DSN2JLa9JQMrEy/2S7owjhzEwKY7pJHwxJYKMl8MoI64Bmd
9E9SRh6iJeqATgf/XykjXYTBn/6bZDEnbSu/hCPGl/cpYqV88h15RcVhDZn6DF6imImuEoRyTRa4
mWM3VN6tVTtIt6lLECmOYM8LH80IhIJIdHnrLnJwPOVJlhN/GwCNPlNTIr/KekZyjdVcmDXu+p4c
UjWE82qsTU2iReJkiSwXKY+XRRoFmzbY80b1AchbHqMmArEmTU8DuLAykgHFs1ZAtSfdNbL9Bj7B
+DUfegW3OkaGRSkdB3XhpAczx6qkdsWAdrTA1nwKqkVCWg9KiULfW4oKYPChqYF/F0tLV8KTlmhb
Z0USCyxBazXz4MpDIAis0y2fwN6SkIPXayBufmShCeGflLUfLAM2vfazdDzqxpH1UZXgSawaafJ3
TTdn32si8iIqB+ErkKjYfOKapGo1aEvcxbaWLIWHwfTe6r4VY6i7sBLqGGcpbHEnUfY5wI1sIi/S
AkWOdnkV1dwXQFXaAmVvqO9Sf1Rzayagt7O3J2ws21zPWTLbaBlB4NuEkMrLqKjzhenB+6I+a6dO
ZNqWqiUnRWhBLUtpF2SrwcvBgBSFxyAOEKCgZSYKvmJ2UVlUwIeVMfJtlkSOdQUIQM1c+yjdSoDx
mGfjrFEfjtdDsJTAovvM3qaNKcNVm9Rt/q2BdH7u4jYNILmYe9Ms8SJwb5eotXJQPqKpE12h7eD8
1OqFywYPoOi5kJex5Cnhia4nGiSreaYOFMCilvJCgc9Pjpfa5d05yIdT/lnycfJJVHcUBKqoA/LP
PgD1zCkQhK7ZChJ/Xxk4e3z6264McJfg/qER/B/VD3YKhjv6wX2xhkPq/Z+LNX9+yNuTOs926r2c
ALU1JUEtkBia1uAs/vZszr2cIA8w9FFB/zQcNUaEQDPvDzlBHMAAhqfLQQElDKnYftxDsQZa5wlF
UFFV8IGMSEn/jpwAB2N35YTtQ7oIPKZLQnFw+1A7Cst7KidQW+RZWLMI0mh5hCr1wUDBXS/U1Cvc
dlmsPA/fEBuAMD4XbiNEJVcVhnwLeZxr552PAtH2h2FCaMSbpXtrOlnreg7yt8vCvG6kTHUl6k2e
D2btm2Jet6NZV9S5w7bJzjtaXxoD4kMKTWdxEjgg64u85rBrG+cN1D4qE0PKg46mpCBnsyvWS+Kq
dyzIyVuL+pN6btkRcjw/a6CVfZ3mMoOEr9+gIV2PY3kSzDkk/4EEQR6uAi0gaRbyeDbHUubZSWeb
jQU54rQK8pjS4abv5+wzL/N1TyqhoRhUaxXwk4UnKCKmMpCJpMtaoW494OELxIpN3rWHXY8aLdou
jWyz3CR5kMZhxY5nkFN1HdBqVQGX/+xLVH0psll9wSSFso4MoSgDYRwInllT3rq4KUdzljGzwNcU
a0EXCswWdasyHCC/4OztrIhdozq/GcLuc5gW48aH/duwAWFCJWkSA1PceJqqFQuXNEqXaz4Hq6Vh
sCcFu1Gk+DQBybk1wdxEtM7IOnDzW7qY9rBsS64FASKHa3aDyJS/lQ0nK1rLMG5wZnVLew5cj8+a
2K5bJQOr1sE4zzcoTeVXxTq79rgdv/AmbePOoT5G3GFYkrRnLR6nk1rgLy1mICQvtgBmGWKeaVKI
s8CkN7kBjjT0fNHU9+351LWLlml5E87M3Gz/YVJrV62EPLr2XXs0BX1+Gg75BGUzCRsyt7P5uqC8
Pm1aQTRr6/RQZE0YW9nZN00613opjHA6m7MsLrxjnxqXZpceSjLHNWPFamC+jwUbgg2rGD/pUMI+
hW24bDBOxveLKMb32QKOWJdNptK4b0egqmLKvxfh4lZ1rZZNuBhzzoydVmQO+81QTiAOpATlJ9O0
vOlK0m2g+Bi87ZdiOk5Y2kAQGKcCrqBr1mhKQJQCVe/NIGixFYXCtSgnn+kywG8hxvQaNBh0Yz35
lhaB0hg2+dvYWaqlIyAhhAUpVmFQk00Jpf5VZ32zNuMSrPqsCU5a25KNr+cm0DbN7Koqk+QUiyY9
tgNoES2dL0iTgD5gO8gY5jw8qwfGTgLRqS+LMun72cAhuGhIfLfpkqGKMgFKfKO2LLdIIFpO7+sh
69Zc1uRjOwT4JJEhJHY8bD6TGa48baiD6gn9QvnUruq0SDaS5HJl52xYKwz20g28ulSmv1LE1Yey
Ve5NNvL8WEI9dt0NfQMEOGziUfTlUVWmSQrpBmxtka4s1LrXW/3/fQL1Vb3UJY+sabJLRM10zGgC
zC6VotvAkRZ7VokZ0ovGTet6GMOYTqNf0aZRpwgyincdfPKxz8ZijQOUH4G2kKwohNezKkVixQpI
iggK+hNM6/ZDZbaWnPn5C1Ul+dR1zl6OQ83W7VQPRrdOANMmTqzAe83rUWGgYxX84Hi6UWKaDn1J
whizHh8FPSWXiwj607ycu2MI6+q6y8FQFcIe9IZs5Wq5Zn4GHdZfznV1ndfTDElv8QkN4QnN0/MU
fCFPrrP57VQUuoH0DPbffSBsuGKdkhGUxM9FR3TusyoiQydWnNTvPA7EySKqczzVt4uHFE+OkMcs
rlZH1CK2tk3QXdPBnvx9CvFayQEEyr8gB/cP1NztbHrKD2D2Q7mBHkgSYgrt7HDOCrraH+kBnL+C
5y9C/QFRfFdRgCmPvRwIHg0Ybo8nMIXhGbsYagAP9EAeQA8HRHkOJ+hICO0Xf6+Xg+7TAzhBBM+t
o/CsTnhcGhAP6IJ8Sg9QBUX4uaKHIFwX4JuyuVwNfYuOaT6p9wrLcRMsy3IM6SY7kS5LbrtAqvPa
4+ZtC7EeSszO+VVdTcOl5eNwYku+nN/rmKDrg/o1SBZ1lW/eg5sYVk70xWGGcZmt+m6Qccrb6oPv
F7Yp6jb4mnRsKOJ7ibNEPgyPBCi766Ke+WZucXLRpTI5Tt1cXiw4G9HhpAb+FZ4kjN55NAUybrkp
6fdkKStoy5Bld2gTnDdQMQ6m4zv9c3EQsIfK2JVoFwg3AMF01GPZR2lo0qMycBZSdFDelioQKCqD
gXwLUdPdzjhVlxBy1EcQb0Be+y/yzq05Tlz9+p9I/0IgAboF+uRuH2LHiZMbKokTSYiDEAcBn/5d
7cxkDrv2rpr3cu+quZgapz2OuxHPs9ZvLdqg65rdUPq0SLbW3IHalnqHSSPNh0YPl3QbzU3jV7dm
bZT4Hwwy5flPemlLpfzucSezGY6B5RuT66kLFv1jE3p53bauege9iB1XZrsdr6foKzYZ+MJvGuqy
8Ebtw7WE/tYGXO7ZnNI7J6y9SeU65V0X0TtmGnfr1iQ8UiHpUwBiZMl1m4Rl4Vox7AKAJZ8AYoQK
4+CieMZr1twJSFPP47xVj0HAdyWWvz6/9umdjI36goMyMFmKW1WWxMQ0ex/3+L/Hzp+46dl9F6YQ
CAZ8SIqEdQZqysiWQy2Jna6Glj3otJYfem8hQkSRelrrwe8ci1iXYWPqd2JprMqmOCEfTUvIjFFx
/jQlg3jl/RR9CjFIYpFr+bBkPQvIN5vU4YEZ3EE26yicoLb1cGocHTOYPdN7FjhskLExuDtCDnn3
U9Od6s1li8O4XNSJc58EfNqd48K1WWei5FOfeAhDpJ4/paIkTz+l3i6dts+idhTGAxNPtkPvaubT
qz+s5vY9HMIazkjppqd6sa0+/aH7QlPRl5phSBKRhV4FP6PfWxkuH8Rg42PMe3/5qQQ7UBoFoBr/
GZZHn8+xDiFyMX8Tt5G/RFNIdks3XzT+GufeLuPxpz5s6n7YV12Lvw615hAtYf8aV77Ponj5gnkg
yUCH3bXpJO7rhWGuWMsYyM4qF/mFEN2/LpF5jhrltkz4rVqyaJu1zYgX3bRfCAib3trhsOggSk4j
JpTC9W3fHg3MJfbQSdijWUJU8BivG+8uenbk2Iuy3zcrictvaWkJzUusz+egsZDAG1AP2633g64h
CUzuCaJEYu7HWTAC+WyL3oXrIMssaObhltDFvk/GyaV5tZbRng2wnUbmmw9bTx/GYepxbCl+57zF
V2VE46Uoldjq0wryo8mmbTVlPk8ENAqr1sRl4eyj3Cs+7hs2L+QGzIoE3KVEfwftGfplww39xH3v
2jyyyZi+W5zov/IEb7CDJ6QLCTVj2cG4CA40kB66Shf4fTm34wiAoYFlAwU3LfssTMeKFSP+Mt2F
Kqwa07LVoEo8Nqpt6OqzFrKlT5v3qy0a3vy4QkNfNZumHwBDJnejtWnTO8NiUnRjqbddJfumhn4R
zduFB4mTO4vj9QAz18JAmiCl7CbXTuTgwBGcIhy//D1pRzkVYTS2WVWCT8hZWw3Q27Eg4XBNDASU
XsCRycYwvd4FYPPMOzBiSfCwrNdjtQ00fmkZBY/0bSwDeWZKVUVTDfPHRaWa3uEQIncN3IxLD9Ql
LZiETQUxqKLwKpg9J2nPb2cgNzvtmL0sI+mxfpZTtS/FmqicYkgqcxPxkgC8qZbnag34p0g3HoiO
tBiMeDesRQWj5SPmHPrZAzLcwx3sIKaHvsVHyqdlDmCS7Xis4Q4AqUhMFkA2+wLtlBflYpbPFJoK
5sBWP5VVCUgxGO071ia9LFyZdpmPAnfGaB4VUyqXj/87s1DwH2eh36uR//00hNf/nIZSzDzIZPyU
Q9Cne8UyfldLGCYaRDUY5RzF4ckfaglKUQDXAl1GIw3FH8EI9UssYVBcUHJIGXgOjn/9J2LJNS9l
/wK2ojQWpTcQZUBx4Ce4Dkt/AlsJ2abJMhAOiFv53dpvBOSk7VicWVgM6dNcltN2TyMLzmCeaWpx
Ai7DGfPKdJkXUKQ/8YnWRMF9lDox5+NAyDnt1tEClVPBEyw8VZ2mCNfiCVdv9L2eAW1mdHZg8oYr
mwQnt1yOoiuX+2iy9ZCzdXS0IG6bbxoVgZEI+NSJQgZ9+Z1xH71LbdjTbFJx+oDxCXdSNU0we7wE
W5L1CV/OMZ0iWG/GJCOuC2iMWcxkOB9H03X7MmQUVmDt3Idyamt9veDSOIvLdv6aNJVb8kG5pct0
XbV3dUBtlAVyncF9NZB0M/jHZQPrA1wjDIv+qBT1Z94ROhQ8Wq3OqoRZDwmWji4fCfyQbOpw786S
JoCClEggdanXNTw8OclDbVdJchtL+NGQtIa0GHXrbxNugxBoFWQi4FRDyzPAW4wVnVUL5rW0fhhW
oLRwafz8g5XB8OO//+K91jrA9v6Pl277VpL9rxfur9f+LnJGABy4SCEn0mvkA1fOz8sWNQT4EjKh
1+smjHAd/tpi0PIBHRPfiaZogrtWXf66bjl2IopvlgqsN+hvYf/ksqXJ35ApSKxYXBDoTt4KNd+a
nf983Vb10mCK4HlTH/mgYUUIJueC8LH/Hre1PJRrIJ77GgN5OHnysCmrchFV79pWrZm18Xu20Kvw
F1cqZwrOC4h5zHYWkE9Wbe5Ztu2a96p3N3W1dqCrUjGcsfcAE4omQEFwOmZ12KYmuFMkSJ+6GdcV
gTNIM6uS5h546w/Y0eprUgXmUwtzM68bE543uyanqCbbsaS02g2iH3a6xtxWvWk6V3XHwn3eqWQO
jxYI0y4KutlmXuPHW9o0+CoVCC6v+Vc5D9t3hqcL7OFfx+/p0oU7IQOwH/UWLJexioPzKqQ8BXyJ
9kk3DxfoPGMxclHlkwj6vDdm2YHJkU9sXbsdJJxWZc7EILRhoO+61tJjNBDxHDSMvbjKdkXI5wnw
jBuzoBVQZdNOSYn7dzvcSyqmew1C597Ytntqk5p9w/F2P6Yp2E2Y+UdjnQDFBogb2gOc59kMMksc
aKK+4ewyaQamGdgj1GRYPrV34Uk1rnmRcVjuYKSUhRgXvm/E4i4+6Blmcd/lcWlak7Vymk8pn5Nj
yhp+4+Im+lClMTuH0To8O7+xL6qdgEv1JjrEpVffFjilPKNVrG5CkAFFv6n1rLrY+iwx3XYbpaUp
M044VLgUp9sOTmq/CxqftMUAUvjQGQsnMCnZTatqtd56NY9nAyz0xSWy/xovEFQhAUqylTT3Fnoi
nUe1myprTlbr5jRjI3wXzJN8ghZGTJFCi5NZpLbxPu03u1ebSo+T76uC6w7k9Urks9YgAkznJnwC
N/5REK+P4+q7YkZe6EiTbrqnfRIe+nEZz0ldu9dwIeRm43J6xUk7tNjP+mUftxM/OpTfP65UEezM
JnwMuno8usT0N24RcJgIDLscvqrQ2X//0fpb2ueajPn3GtHfusb/BKP+tJ+ur/55vL4VBYcRTi+4
8xwnKfJZP49XpFSv1ytOcuyPAuzQn6ciTCgxxz/gT9EEHeBLv8Yi/Kf/byQV09m/zEXgZUOYyAzO
FOykayDoT3PRLyQ1CHpIqMlWh/CsSQMxfR2GFsqnSHEqzSFF/mab1vF9BNOaZKBV2ZbRhlfrXrYN
+wQb1H8Ek2F/uLKec8QGpkMK7IHnFKzibUNXag4jbIow0zoGTFrPjcVzkTCpYaefp23Hqrk54BA3
/NHGiLxkCAqNwa5KkumZzf14t2kPngbOP+BNv6Q9zCakatxui4LtWyvi7tLXNB5zStLmmPQLDHYd
IReTLyZSTRGtq90ybZn4IumU4nxfNYTwMkEwZbeNndzjf9I/kwkUJvBP9yIIAbthmzZcgKGu2FRB
T2GHKZcN6CC2oOHGY2wbszoV6ovvW9gsYIvm16azpoIdM2Iy00E1v9SDcN/aMRJLsagufDIaOa9s
MkMA6T2KkJ6SUG1mrJQlMMBrdOmHMq65S6o4+h6q5V7VmC13YdyAfxRyDH1WzsOostJE0Qd1zQBk
abiJLedOyh22YqKeEeNy1W6lbu7P4STkcGkVT/ewZtLoBdZZExZ0VnO44xIxliFyAfmyAdP5hndD
p7uVLXo8zox8MtK541pfcGR5CmzlMppFFf87JwUuzv90UlwfgfGvU9jvxwxe/JuYTPHwivBa6Y6L
Ealpgenu50GR/h9M6BDjlkCdOAB2gWHrdzUZXaxhcC1UgdHM8OSFP8xmgTYPSL9ChDEgUZwz/2h/
wjD414MCA10MCh7VRzi0IhZdi3f+fFDUemXY4PwhhXGyZhIE0Us3xexZDgmSZ8igPaI4iUfHyM7q
tAyIidyB/wOyiQFv+qzhlPKbxsBvB0Vc1e0JoJXzWQjsOTxY44LuuEhKmkPqBnxVU1aVu4qycMJ+
0Uz5Bs42vGviQKU5AiPlfIPP/5wchi00zQ4zAXjsagCrU/UASaBQ8m7N1cTwmWY0yPtQACY3WoCN
UVsSHDzmwvDIOixMtOddh6VI+7hY03QuH+Y5EjW4YMCFh17IGFBqNIANpCkS06A+hf88OQEVa6v9
eGatmyHMAAyBKwpkbDfYfkmPi7DVSSXL5nOylB4sbe+35n0wtTGgd+xTcTYnPp4LDcIlyko++QNi
NWXwgTaJQ14OsDru7nw9xB7BlBxo+3iPeIE7GQ+p8Wa0vXPgR429aWg8PFpL7CVxei33myoXtqO8
Xz6uoWV0xyDvPVWNr67Q1AiBuBph5QnWJe2uLWdRgrIJyjOvKH8IAL+RBwOq99MqDTjKBNFORCzZ
1BWtcK7MtFLyC1c9a7MBv/kvwdZD4QlCcK8QHtmUHEsQRbCXSb335bgiuhNQhbROol3WRUP5uoW9
e2n0XG+71VXJZcRiCY5u3ooxRar1gWICAo+KTMIXCGO+mKM2shlyAXK7aS1J7pYkrL8SELXmFK8k
6YtmMxK/o2HubnpGG5tt0Mh0XodBmkO1gPBZJb2estlP18My3jZSRJ2YgmzhtVnPbSlJhRuaJeOe
URczvOUhznkGsjhfug6fxniNxTsIxO0XoYHqPvF+9QP8fGmDDylJug+hAbagymjbMklp9xC123Rj
bJy8Ij8KuXJF5u05lm61u2qhVu8Y0iphbjH4ndqhwsA94XcEuEqW8yM0MYCRCZ/gR1wVTpz+gM1i
7EAvVYy7nGnDMoKxmIy5bax+6d3Qf+lhB3S57a5ZB5j2IIs7rdr9ArNCZCZGxCRfkFv6MDaQFODH
x1iSII2AGzNiaR9mh5vaue1TKA21T8cDWwSA9O5KG89JLe4IrvPnxM3lqYvHtvCdik+Q6LrcpHV8
N7PePZJqFj9aIsquCNiIm6FQkckEris4DB0UYp0aWeV8q8rbquu3fMST5grEDiyOhBXQ4joGr6lm
+l09DD4+TbqWTRZUaqSXaYQuD3WevZYSLkoxbotkQKtq1Wa9V/ZmkOxVLc2d01F0lshJ7sLI1k/h
GiMakyKdcpcIALtFa5q2ywJnu67YugT3zBBvNrx1JB3PU4tES9YgG/wBhzINszUcoJZqvZKs0cH8
yJC3nA4maAi55/B0tlyWsayeIs/VRyNccHUoQrjIIdaPXAgy8xPHe/8RgYxY5uEwirsZeOFwBOvi
4BmsNYIUQFGzKtq+W++4OwQ6CH44WP+Pm4/bCyFiw45SJ0tYKNnal3KrJE6COm7PFk9EmrHDrjHO
U+VDtY+SNdCH2HY9roh6OJJFHS0upDgngljwHdftMTdyEkfQBOR76jaELuQ4umcOqn5XG11+XEdc
+O8JvgFAoE4HYyGqKZ7O5TBODJi0HE2GDcz1mVzFzULAy50Qtw0BJzQSOSWVTAjchmbtPZaxBuQi
A7FU55okSBqJeuj7rC2pDLPB0u1Gbd30rALWkx1bU+8y5RV8///+MQMTMHaD/yjTYgX8o532j2Xk
1yt/mzDe0nEYFtBwiLzCW33RzwkDfjW/zhC4wePJMgwlh39MGPC4r8QaWLMYlTvRn9Jxb4/bwsSC
/STi+Gr8T5QeBAL+PmDQGL19MFFDfC0W7G8DBkVyNBIuPo2IDLV5ffVpphaJnAxhAneHE1gledPr
jdz4AIf0VNMo7xKTOlDurJ1z0MkoJ0CuGGl38WYSsXRLloIkM4F5pOEjLeEKR8lGD9PVY4Li4ZG8
gLMUbXZIc9yz7HvT1cMtfbOo1Eiid1bD/si2Dfz0/VLH8LPerK36zeba3iwvcXW/kjcjrH4zxdap
dvt42shRo1Chu6RX/8wjwZbixoOZ5IH0q2uPyvqgqKOKJyc9IYzlr27cEAMz2XW9slByyzj+CNuH
2FxSaR6D1GAymsSWOUvY/fLm9MWDCOWOM426htD1d7xLaQGBLnMQXXch6w+VSqtzIPpCa4Lo2hCX
mam28NFsM6CSjd0HNXzokFK5v8YOTtqjmSAat2KokimvNKKsjML9GktRTC3MpW5EdopAIlcYGi/I
ydSX3pJnNAwcGg5zseX0dpgmuoc5fMIdA4NcYIowBH7bpas6pnwAgNQg94Bjmp9aJBx2cHABRY+Y
uub2hMz/l3QiN4PyiITbFUCa/1DxQJxDbCZB04MlM+09yKczBXWGhXU+qK4+zSR1xTBsTdEMDAsf
4g3a6OUFE8N6r5WbT02SghAE312iD6Dmn98SM1TX5hWMsP7a05Hsx3nluZ+2+Tw5Jx8rwtW7tOYI
Nm94KgI5SzDl6wVkMMBHBdfcZW2icUQnzZLZljRN/ucMDfx4Q/dlG7tTHbZj8q8ZGsRx2kOg2uYz
CSAGiqvO73yP0IEf+YGPfqgwciHtTio9vgTamOewMvW5InbAKe7teMHfqn6YF0PAMDsOKqJJVrh9
K8iQ/ToJYABpIBHtWsyIC8rEVXPrAD8FWY8VmsIcA7eOUGEXZ/0GSy3r07gt1pK6l7gGG5o6tRzj
uiXfp8lNjzApkI2X2l5gyy4RVs9pPmKCH3Iu+VTUasRvwgdDlE/DgM/g2IXn1tP2EQn/6RLYZikQ
/6kKYBbmWIayfipJVesCfjW5M8oO7yN0LRS810uecpniJtW46Lc8Dw/c07Zs+grlDQ/4EIHvhCEO
/B235xC+TjYMc7ILVoP72BKrPapWhu/RtCKsVC/ipWpq9loxNrlb1FOYRO3pwLB7A/dDUuB9gIl8
QGaKrPE5Fmm/HzWKLNBfwUCrHdBFYW5WgFjI4hrxUrJZ5VFdJzm65KtcNEhoARaOMoXIxhcQ9/uo
e6+bkZ17iiKM2oTuXjbdul/AlmMRf9J+vAEldgjluKv0VDThAMLGHUcGJXhp9B0xSXts3MB3m0xc
viEHe2dZMt2Wut4KUo9PeOe3RwysBjtO7cDGAxmcZpd8b9UgbiyT1ZGX63t2hfmpgm8NaHh6jQFT
PBg19Tez0zuftnetn9j7ufLqRyDn9btf6qSATow0v4ApvK1Kvhs6YP2VTsJL2ZL1CwryoB6uCLQe
ez9WO5hItgCUgaRE30YnHJ9AbVrMTykONYC/rdLwh4bw/Yb0VA7WyB7Skqr96lh8oTrlz3LZ7C1y
vWK3bp5/LEPS7zl778VNM8kHRZFK0bZPdmKqH0gdjvcJ1ih8E6UgTggElXzgC8Oj5l1cz/zOj6A1
MXKCEsZbgwVqLo9xZ+Q97mnX+aee5twkEQjMKZEfnUjdcd7IXCAGwt6xtfX7tyhVt7FtRciUbk/V
TM0OQk99iGYRQD4Pg/JZW0tzt6xi3+NjdmDYUvbTJs0paiS5Cd2y3ETtaHJqZCExK4sxUTvl4waH
HmM5VQacQjrG9zQm3YG0wTsN5TZTgAynCkOWV/o4mOoAtOG+quX7Ri63pJzn8zaFzSXFan3QFKPe
uMCUkMug9jYQFuUVabVL2DjtExKAqUFCcId4GC50siFWl2C5OgJ0rfJUzSvoKoCYk6w+yJKLPKmG
5DlZ7Q3juIhFuxYjKR1cdHn9KPJQYoTeYrv3w9AY3HPJQPN2rpJz41xcwmQFDnunPRbZouOydNng
15kU+IhRsBZLc6pabcRJq5LrD7Rn22EqkdPK517OO451+NAjaJZXfhkuGKXTUzCv22Xmi+/eLwnR
zU4JV8eZtBDDQFSuUBED5C3GJ4kc+GtDy/FdjKjp4zTKEYzDGPRN7iuEsoBSj2j3MZOd/XHbsGMU
cTVFX9IqTW8xpNYZG3nyHWlfqfKtwrVwhzA+7i3CxCrHJoCNRbhoOE1WlEHGe9tSDCcK90fI7yUU
9QF+BYsU5tqmURvPLDUc0ZuqiT7N8Njcvh7WxuzDDp+DI0gM+aVLFvixRAtaGJzWHThtPSL8mqbn
BerPESRhqjOwsMjpUT08ULe9EmOeehXPIMFXpr4GaJgYscQj7HPA5yl9rAOpjlBCOtxQ9WaLdUlc
kpUsaM1exCNE3qYKQGtYWReIyrDCY099Xy5Dw8/dmHRfygbWR7bACQPeZes7VNdECLjUwHZRlAOA
xyszgdUFxlHWXXUMPVuPgRzJR4yM5kiEVx88S4aP4aaxWbZOI221ga3eYH+PPho/BCsWpcoGgGig
g4wH3SCFxNcheq1G7PVrx3Ebxp95DoyZbgBe4cPJ2fZVyOVIkL7e224ct/8lz+I/GsJ/ebzmH0vC
70IkXvu7Y5HEkPgQMUI7BB5TTX8ZwniqdZLgyXrQemJAocCmf60JeGoYuAqohojXR2gkA63xu2PB
/y+g+KNoGYyxY+ABOP8o9UL51ZH4K8kRh6hAY7CdEX2D9/xXITJCFndgPSp7BtrcRVetPIQZ4bMu
9OOcYSoBszW+SesGVQ1IF18Vd7fRcinMVYfHVjm/8Ddxvn4T6hEfnV871H11yOEO+sv8JupbnIrD
TfUm9kdDTbAfXz2A0aA1KCvfrIGNji+bSWEXbDrun1s2yb34aSf0MawFfEhhMyA+XX7RcajoTrfl
eJEhSZK8tDSAM+EEwqC0isylmxnkGuWkbQ/IX5a3BDl4GNdAH1W+DOGW7uhqgBiuPEqnDKQNsn0b
3l3QmzPBAE3S4KarapSSNc1c4cidcNPbBSUEoNzPOFwOJd+MO4yG9O84mm8Rsx6AjO5DWS34NcE0
fAl9h/meIgVK92vYXUPh7TRg1UCnBs1DMtrvck1mlzft6vErL1e6QylcAAietwu8215/AggvAJaA
aBNZ3DbTMUCQdIGohZoJjHwGmbY+Rghzh2hktO1SqYXPW4NM/66eajJlA19feg5g5wQ7HZqmmgxi
TfiRWnWw3UpsQdYRcV+WoOdnNvaHH3oNHcdfwTeY8n10N0psQQhKK5sPVRuckqvL84Kfxj8OJty+
wUmJzgtwuw304NB+kkNIb6FJDlu+je7KBhI1v++RH6myWYr4yV7dFIhENvkUKDGeJKTvs1owLB5g
oSWvVRl87cq66XYuRqVPZFCcV/SIGvf5tkYJRFQy9l9bLWqbVXHFb+uEGVSCoLTm84qerwT1QSXT
yDXE9Ifh0xCB299Ee4yH5JqKFGKikPxs+VSnW9gdek3SMXdK4YtIN2BPjROInsKw7vQzZLh2G25Y
nLcJoo/bUsGz8xTTLqs0MTDQgXnmJhiRaJVv/pG4WknizVVK3xwm+uY2yTfnicKDiq9m1H+/HPP7
eYmz79+7Pru3BwL/e9cHL/552OKBE+hkh/WKR38lCapFftnDCZ5zlCJbkIKOgzqa/GH6xNenh2DZ
xX+8Av4oDf/TWQsj9yr7AOVJUHfE/1GEALbyX89a0Ddwm1GLEAsc6ogR/80djpHdQS7dFVaTH36K
fO5AkX1QIQozBibVB3XNfbVppC44rL+RTj/HLr6VIXaWxd9GLUZ1pLOQma4/rlGPApgWQVkUttXt
00x9eyTduNw3bXJwCiYoUaPYlyqFaouaopxE6ecyDKYCLZQfsYHKopF2KdyW3oL6bHYYq9QFnZJg
dFo011QQGCBIyo8MK3gx25gdt6ieiwbRaWyHSu057dB6giWwB1MLlahe6TcQt89r0Af7dam6nJcK
dRLGbHddI6Y7NLNj6dewbcO2f2gG1CLlFUpL9smK+h2KReo5la2EuEL8gQQUU9GKn2QGY32EVLAU
U8J6xJ5rn2/D+qWkUVXArV0KHLZ6PwOse0IXTpp3xMQHQPDBWfCyOXlmp1OZRNsBwYJh300Dv6Bl
BnnA2VZf45pH0xXoR+JpEfxz33RLMYyEFMZJ/pQYkSAK4NtbLfj8LoiA4nUcUYUt7tpHi54n5K46
euh4UIwsfOm1AJqC6sCtfR0Ty1AtaR6alKD6BCk47Payz4iuHSCiIchonQIwRBZcRV+Ns0u+RWzA
4c/wzeqIHCMHw8jHGnnSClElIFqojGsDUqRNbDLcKS6RDmjeTSK5xUr+NVXdV2Wu90AwQGWA7Qgt
mxwvBuAL5cnldgMSjejFPZIBGrKIWYo18Mhx94PKuEXdJ3pqApRHJjdQy9e8bNcmd6NGUmAm1T62
6ffY0A9V3TxtG/++KshSxKPaAoCRzFKdQlwi6lLCGgFST75BPD1No79zSTzvcH18RlL0xYZenLVH
EWQF9CcrUSW6zaHJh7ifjtxZ+2EZ5X2CJs68jKKvnqlPfIw+ITv62MDazWA2EORa2XSMYoPmo5Cq
HEGEF74ue6QpsVd02AjGZkUJZYjaqmQIUPsJV076q8cTp/uRj1833Jv3eHpums1zHZyBGgRnO836
tUON8z7ytDxus6f7Gc1+RVRZsleR6yALTDoPsKbvt3hK86ZpqnfoFRWPPmmGfV/jq7pdl08438Ms
5JzmAD+wFM+lmm6Qoy3XIp3D9OKQwd2joQbdKzBgfQVXT227iJXbPkQHwwPqkfoTug7TrNY+vNsQ
1BC5jVTyuJUcAw/YGFhzY/SYgr7FToFo73nCxcgL2oSo0lM9l++ZGBmKgUDZgM6z5cdq8qhMhal4
LT1s3pY1wA+okIwOeAiJe4b0Gl+GMkHZX4UK5SpDZmO5dVEkdwMquS4M/uuxXSp9M6E99h3BdIpN
qivJCWexyBpFtwdUI9C7teHxXtjV423QMbJDyBSfsVAGRUfn+Wt/TX+OcOS60FXnJIKEmNNrSlRq
vezSa3K0uWZIsYSOO45YqXsLmJq3sKl8C56u1wwqzgj/hNaj7dhfE6rRNavKr6nV6ZpfBX1nduM1
09pd063VNeeKSthv/zN33RB8+L+/6/6tNvxfdpzrq3/edhMUKoM4FwBccfdN0xh3159WCDL6eLI7
oNcQWNQbfPVrx0ENM3RzhvQenm+HEtVrh+BvVBasENgpjOJ2jFg/T0G4/4OiQPwsf73vRgGybwEe
MgHSKwWcFf7NCxnRVMHRzrJfrSzBR1XxDG0TPWJzpsjc4YAFrImisAkf4QVRH3DhralvmtBDN28N
kvs6HCCglujK0lEZZrzS9JMJEMrBHTJZbmbw2G1eAmNHZ1+w0u8GPbhPAiUde7nh364xuUuMLPeh
iYLk2M+LvEUcD32AaoqjnXIiOadtyh5EyZCmVmEF2BzJGX0US1JBnJlClvuBmiWnYDb27Sr0Dbo+
GdzLPkJLrECB7yd00LG7fglquW+68TVIAYtnI3Y+e1gb2lVZ2zNhchGo5pSYGf1cCMUVlUiCYVcS
pi/oY0IrnQGIvJeGVbdwisoHtGt0AhK81l9sM82fx3a0JueNKb+tyvSvEqrMjxHFKcDHalSBYJHC
ROKTE5Cc6Z1ErUiUwx5CcxuSd2URDCO/oLZ0PDJsks0Z5Hr0gLNR3ZbwMshBkJX3RzIv6KRNg17r
j8P/I+9Mltw22iz6Kv0CcABIAAlsSYBjzZNKtUFIKgnzPOPp+ySlX7YVoY5wdK/aS7tEsiSSmd9w
77m9cD4PlhN9NiZ4OTBcK5PjzsH/RUfXMSfuG0QFnMjai5Euw3Et4MUEwhDRF5Oj8sbNpuToVX35
WJm4F5MqpZwYeM8D7GVpXW/6WrrZPgGW7G1TI+8eCimLb4nEvHCda/HwNTE9JV0zoC0Eg5Z1t+xV
x+2kKWeTYXrXVWatV0Jo2p7tnrkwKJ/Z27Db7k/AcOa7NJmKIJmpbdBQ9/0Tp7iAqbyE5S19g/60
QEMtKGXGNf+cNJn7BceVfoXMFH1aNQ2Ox6CKKgDrjtcax9yIEFJ34SAZ+1Z91e+6OBLfFjTaTx4k
uadKA+26ad11itkZmbYbrE2UTNs0r8z7FDfBsAtDqI7gfXP5niE4jndaFqbP42R2cGU626HuYWiw
SdpsfGL1xrxsAd/V+W1lYLWKQ6d/6UYUsD5Ut6ncauYUzttYFPpd2q9Ovh3CpRz3JXbPD/zjYbNH
cmOk23Bibv1RYAR3r5BZYOVOy5UBH7vC9hRqEVSbQa/daocDM4y2GDHDFpf54E5+2VQuWgpnTLe8
cG4B/1tx7jdmFd33cRzeRTPoDD/WIT6cSuQrD3xEgVBonZzfRy13Dwze2y3mpTH0I1qFg6tw0U7O
Bxz73OLcpSlDuWDVpsXcNhfONCLU9NZU8OnEK8JvqQJSj/hux42jMNXiQqzuFbw6FlV9bi0LeqOr
4NZFVK0RmkWQ11yPxdN84WAXq248txI49rLWklHxhZk9XvjZfA+qj3y40pvhwtc2WP43fn/hbk8e
CO7pQuOOLmRuhBqK0n0hdtcK3r1WcR1IBfS2L2zviZ3fvLWctcTNn60Q3OPITgFwSo601AIiBrAJ
VvhY29ErQtbZ8pOUIQEKMrgb+37GIYZ4pzhmJpr2bWqx0siSbrz719ydqrX8/d0ZvP8SKPUXx7t6
5M/ZIHYPhIA0q6j9CCr4z73JlE/nfyshs/2LhIBOVtlKUDGoeZ3rGH+avDCLWGz8WRNzZ9rcrcY/
uTct45fZIPW4rQK2cb17xJi5Sg75V5Fiv9RhiU1om7dmcbIrc71ubRC5m2SSzZVeOdUzZWdxbqYv
zObQA0imyA3LWz7+ER1MY2bXXr404yZEDruwBk3qHX7V8VB1a/8Rf8iIT6OznwdvFKMi5CZ4IkY+
96hy1Rgr9QoDlGTG53LSzGXfXgZdtJETEqgkRm9Qt9NwnhNVlUqzexwis4JuA/briN0clbI7jEYQ
VcNyYCpffKyETaABEk9AF67m+C0TduRrWVYj4lnkrcC/cm6Kxg2KdmGoH9aYY8QEVDq2Owd2ov4Y
GhU1ZlvBuo7W6Ar4f637EduTXdOwHEQp6e0weiI+6ivjGLoTHTca7vRDHcXStwYLhaOmoKq1h4em
nhLjq2et4S5BCN3TzrVy9TH0N69gcBO2i4b3GDs2m8lmqaKOFXDiBXbnhie9zFNvPxTSetWs2EBM
1WTe3TjOyXQz4j1HYGHM2hveF5CZLZ1Su61YQN6Utuftp0ZSuaPlnPdxLAO52uWNTcvNC+QKNhYm
tXc/aFp/zlFDnsrKdpUmOutO66z6VGdiY25qnsMS1ZzHCqOKaHGd0oF8NvQ1eRYthR+YkU6GBBAs
Ybfr1mHd6qkxHBmS62fDU5zEBKQHl4GxMSqrI1+iRB6m4b1TWJSXmF48GO0q3eZ5be50ngdh12Le
hD1aySTkY1HM86HUabVZ7LKvQarQVbWzTwZpIs0r3bPVhfmNY1s5w4xaakeGFOstc+xn2aRX9trg
ei4t54ySHghZXxiBnoQpf9UV7KaVzPswK6AIGt4dZBbk56Nr3pT1EB+qJoluGdVYKCrjFxOT7z7u
rPum0TOgwuyRbHuNGR2Xb6zTaNXjDLzg1B/CSq8/5dG0sgEd0O2BGP4cu3j69JSF69KfluFxSDvn
ManDE65A56huO4jycwaHwYNYnIdFvOlHy3hoNE88DcMqHvD5jXvPtJ2HEl3dHZEA3hWdPiPtjJyK
K7a38YuF5zoDGDC6B2fu7evZyODKLOlXWOyi902ZPLVeZ97Nq25tHSsVDFlCaztPuKBbCTPNzbG4
FN0CrtVBRmlNo31teo3hswRrAtsprs3IzqlWq5oJu6WTNhCbd+aULQehl1gjN3FU1Pi4RzvfFKMn
IDYzUEIBmnzVCq/cRcyaH61+MV/hv8ova2h5TwSvLMAtFwut7vIWFf1xsOrAdWq92kirm29YOeaI
YcfG/ai17rSPOj4WY7GOaB2sIIq7Q2J0b6gnkBHMn2XVBdIDSaX3kfHWQfTY8V3zGdY/9xpj5Sl8
F5hR2SOugR3iiNu4Q+rudNjJ/jKIuxZV9maR1esgE8k/UF8E+YTSUDhttx3bFS2UUX4zAGMFiAuq
bZxq45FN+Qkf2XmEyHeF9sb1B8tUznYYCn11msmQDOCF3tFYnawk/loXtrmFs2+D00fgWExddge/
usT51d90GZqamLH/oU3c86iNZYCW9HHpw2MNmVrv8pd8ocr1ijMlQHPVeUCqdKOlYKrajyQK1H4U
uWJT1cbOzpZAT9edni/3jIfEpmmXnbGC/tfLchvH7rcsd+WDEvP6srFPoZF/mpZmIzqLdcDaY63T
nI6OYjaQcno7esMnWT7LuX/MvM7eeia0v652H4e+eBvyaWdbzQqhYb3Dt7Wb7eQEENIfsug5tUdY
UiFfdRiQNkqJ0WPnaSd7GP/RB7OwN5i15LsmQ54VCSw+ezjPWW3dGFPKliAa5ZvmYOeap/htJNnE
3nTVXDGUdOfsHMspAny09EE2G9oeoVZ4SCiUrqOMYnpLugwiZdfaMelMPmFE7rcNxN0tuM88CCfP
2tV2iNgsBIKaarF7A/Si3DDDhL8WGWsw2yb7ktqm2h6iDEF7PtDehTZJN5UMZheYrZ2uj0UIQqAY
9W2xtP1NmBuLL6w2aFbvYBYaJG7w5X6Uh3HQ4pXcG52AdliMp7JdmNmV07Kn2CVLqO3NB6GV4FB7
24SJMmQejIYs9ddm0j8tyTI9RINrd5tJ6qG27WgrBBPNUYe76yUS52DobavLYifqw+GjFtL3RJ2j
vUFqRABOrXebWoOvJWwzBhZDJzY3yX4hTWj//7/8U+uAS07y74u/Lbd/918PyfhnvvGfw5Ofj/9e
AuIrkYpSBL/IMu2/QI/kH6jJlIvYUvtZcv1YJvywqWAX9phoICMlUVNghPuzAkST6uIAYdoBIQD/
i+P+kwoQjMuvkxPBhNRQK2h8NLruUrr+tQLUJ1DsVkgOUwlXzk8bfKlDZc8wYf5X4QWg5FcdGa5c
Z+6R/214AXkN4FGdpD38XwUYcMo3oHD7AdfL72IMRDvA8okSmYR715imO49lTuTbXdfUPkAniRW3
Mdz4ziqasiYehy3/bb2mbb0HY+Qsm75IAZuTYhS/UOx2jc8xi/rSntxhCjxRevbJm3Sz2FMIrgWL
TwQG6mI1DGzVGokzkXo9kMVdvHUaAH6sLrPe2q5RjPDTlbH+WZiDexyBeEcbSxpzyFZhRe1DOF74
TnHbw+f2hHYFiRoI7di0abpveIoHw167+xR6LQWElrEr7efMBBtM9NQmjKISMJ4Vvk+NJcmtYnaR
+PUYiWqbyJxlikTOhrgvqwGQp87k2PuRBTdeccTzL31JZBQjW6IUsKaMDXFfWoSC0ZuwSpoiXZvd
FOPqxfk7t0y2uARAZyGEeHbcAmx8LwYdmwvWnmu5kD2wqdcVR0PF+I4KK2Yz7Y+F6Tw1Ym3andnk
DClyq2Trj9g0bPeCOLJrU4Z9eiidISFm6sKAaC48iAFO9J2sTSgR+McLb7teCBJmNVFPgCgeKckU
YwIRHLwJu+oRBrSYtcVev3ApbI+3POgv0IoUDMRAvVmlLuulokbX2tEY4IV0WsDsaWqeRz1KIfVe
UkKiJJyczVC3zev//0P2P1thjqPfH7NBlvT/gxWQx34/YumKaaMNxDb02UgAYSj8ZTotXGUMFhbo
OV3nJz/OWPcPbEwmtFroJhymuAF/TqeZdmOKVRJ+YdvshDl+/8F02lDD8b8qcDj7kfngaQYbgSHA
/lWp37EJLqzB2/LxWM5hRhoLhRs5D0YvyiBEVETh55nQBKimIK5IZ9iR/dId40ifXpO+EDeizI17
HMfmZzcav06pxvgvNBd9k/dh/W1hCrWrjLQB00lPAk/zmaqtBY3UWdceY1NiOIyvi6nfjwYbRaT3
wydnsI1grJrlFQ8z2QO9575lQzg75DzZ9X081nDo4pV5LVTlq0hmeqA7C+pobPGxP5nTuHdj+sQQ
H9xrSZ4ZG0IIcdFWeEUJxo0tmVnoK6zqMFhj0PGynm6JWvBYnLbZteOO106xvo+d8Y5dEbRRP1sH
omSao14j3eY7TxWKtj+ohT5tGXY1mGmb/CXNyKxanES7Wr0KT1JWrmygk0yBnDRQaIujHW1jfIdO
Me/6niUZnUjtXPeyhwcxhoJNMUDvk9BY+tlR86lLEiiVnlc/t+1V6sUPYTFYxxDG0kcnd7q3cnbl
jVUXSDo5MaDgdfLejbX+uRgcdON9OT3NJoI8qvgsu55rjYy0JoImPnU5wRmmXp6BbybHMWnHj0ZP
IZ0mmRVkg4O+fLCK9op1Vn9tRHVrA3XqjaA0ch0woKL5d8A2RG6eBErivT7Ub/whD6VrO1Djm2VQ
9UtxU3Vt9zEkEw7QPhkRHYPv00w9Pldul23wI+XFrtbQW48Iv9i4abzbUW2SyWHI6yqvQC/EsTeS
szKm4ploPibfeDGhfrBiR+AezVdx7hr3eUw1gh8xhfXTxoafk/z2ksWwXsu1WpmxuhW9JRT+MMPk
RBQGKXWZVsjbNLNexdqnnN6RHSxaIm8cHBu4MtrkuZBpeZ4Lbb2b03YbRTW9I9Pe4jSvZuQ3OO5Q
Cli3Nafqp3/NuakkLL8/N/+e1/xnZfrj0FUP/n5w4mPCwMSgUTrAozxLcqR+X+t5nI42RiYczMBq
dFtncvjj4CRgl1YJmQsBYLbNFpoz9cdaT6kalZbRAV9tWSz2/hHMRigR5N8OToicVLs0lWzpeR11
rv+1OO2ogWtO8R2qYnhxiUn0xSUlSTQIN9hkdz6qBHR532OSJmvsv8111xAM1Bv7sVmLhxYp8ynP
DCtIKgdPLeC/9lRq6jmL1flogjyJUhJES+20CIeWO7pbYRRv+erXXwbgXPcpSngCI16XFv7xFO8t
A4SbRMSe+aQM51daSs1S1rrjG5RoD6k3jH7tmXgjGZ08mW1h7YsIMs06hv05prh5SHKX/CS8gdW2
iFr9c4/3N5Et6aLQ5xgLGMM1ZlWDTUlcGpAPlT9kY0TW+KjVcXY98C1/rAqtuFlVSpPsWotfEAgv
fpw803R2KHWNA8YlqwyjibHRuyZ9HeqKDR7riQq8n0eAk+uRFNh7Q3+2u6l5tL3e2aom5RCP2hL7
iduznMjX/mCLLH/Kh7XcmWglrcL14xRmTdI3RrtNbdT7qJ4zeBF6017T1wK7ipf6jFGxuvJgad+N
CiC31p7wvVzoJ5Te3QaZHaS5UkHnNIWfsxSIrl68MNAUnA5FHTIHCbDObBykLdT+cOzAIdr+QCwb
QaXfSXcKejcr/N2EmfqNHDK445zcix9XWNkCy6kUdUtB9HKheHrmha03aBh5mR46fbqbFH7PcYb6
ivM6Deq0mw+5zUIUWpiz7xW1z9Zyuac+zJ/bC9CvVGw/WeCLsElHmq4jOzG+CQaE/qB4gHHX11/a
rCeDZZODB/GCmmAb/a41iFhinasVre/kSKuQ1jvgBssm4oC22ECTtnRBEhYuliIwizGDZTOR9tOI
fe0I1XXU9sbQgzVseoU4bBTtkO084EP3AkHMUGjCxhCE/Aa5BSeRqwZkYrTofOrp+Idvo2IqIgb7
pl8wi+kFuUgsR3I/Sl1m57Iryy/rnBsfZpP5dTChkPdO0rTjRw/wIZEN7QBd9UIH0BUogJ269gmU
HH0US0mg7CVs7aBiUd/hFTHSIuAShjvALU5x3ZRyUAKtpnsfncW4H8RSfOF6NM4y0Yq7Ad/7GzaB
FWDTABg/svriemjBALnlcDsmUn7gtiAFKjTnjGAffCa3TPPcws+seHk26LG+5eNo1Ttp6dk5kVgh
/LruquRWIvF9b2Al1aeGhJr7NK6NDvbJGsszs+4C445EDwZXIJv6nNC0OeZNGVfpEqcKcn5XAogk
f0ev0/muS+P2NOa45PwQQfMbnuv4yfDGqd9l3mIzLM/xb22yfsXyQBqZbLb2TGnAnEVarNlagTRK
ejmuBnhY1W3kLgNo/Zp4nK6kwatKrRHfihbHzROjXdQ/4QQSya/IBYryjWvVeXnIyXILUBWSPkXe
Mo4CNawcdpamg5+SdpyEx5KGD4tLXeKaxgnNvlY03ifGcmH7lMfWWvq1brcf+ibJHmajzOsrt+jb
ZutoIv5io3/oti07eSBZWemFe1mPFQ0lE/C924lxt3YgTkaRf6nSKD0Tp6i/iti9x9JHK5RhdJN1
9drn45VYtevIwp4QWSSu0o5dm1lDj2mQphzg5Pf8ddS9vcfoPkTH1Gg3lowZtwK93E1knvij19gh
m4t8mvmOiPDRa2EfeFq27u2lzB/k2OF4QDkK0ZStFYMulR1oUqydIgErR7D0KI9t2rXlPs/7MlCy
hX2aGgBm6rW9HqlWznmlItj+kilYdEyJB4rZ0bvKKhUc0WFU5QOCMbweU+12GvLiuEZM7bYFX/v8
+pIwGLUCybuTJdG3nO+2u9GbzP7YudM3IFQOJJ/J8ngnemxgeFkPaW/1V5fQwZl03juqqOVlDlv9
nNfegFar+iV9kHe54D4IJ8ymXOE5YhFzPlQm2ylwpTUZOiG2o+04NTgtlz7PI3/QE/kQWW26rSMK
Pt+VLQJFGNbG7ZB0xuRLrpgXgSv4c9MPzd6RAzyhf021ZbEW/X21FZRDNPxeusxjvxdbpKMwy1Mg
c4s9MPtdqp3vxZbzB3JhhyoM4Q0VDxmZP4stSVw9ZlJEJQibERarCu1HsWX/4am5IeodyjHBSvOf
aZfVi/yt2OIX4/lwtbsOWi61Wv5bscWKp4dyTHgPoQ07nIzswZTajw0YmYNKAYjyh5XiqHSBlVII
TgyRDq6RjFca2aXBPJrzdSlI9t5kc68ihBHVXNGwAw20GKDIFCVidxElrkqfOBoq00BkIvxg6Dbe
tEZDypgoVaN5ETjiMEXsSDhDf/YuEshWqSE1KlISvYmgr5RWEr8HskkccZ/6nB607FUgapxGHQKr
ygOr18GZfqDIzDd4duE7zNLZjuqQGxCdgAQcE4JfyH8/LqH1tSKl4jT2RvIwoH/cN3kZnioAggQm
EvZUwKzxDSyYj9FC5y6yQv8S5WI6Aj+e7kmFSbRNWkTho5YWhiSn2pPP7uS4T7XI9KNLbsvX2Anr
PZmbmzqx281aNNDD+5assMhAJ7OJ2DvvtUIs781quE+TkMXOA9VzkEmCLmgKl2PnucnrlGnimtwZ
+YKdsbodpD4s3AKpe+2GbrFzmlbsEgGatSFBc1ux4SU1eTWeESPZ51EoxIlMqr1BRxs0udXccRcR
w9x43SnR62pfmFI7hNEUqwBIPdlMhR0fSrYavkvs365sUMsZmZkGhWt2hxBmrW/AhcGIVzdbqZMv
prErfwDP5fhlOzv+kPCEI/7fWyYu3YGsKe246t5wLUaj9xfQ8i8L6OovldGKPZs7ayeyxP5kKEZh
omiFDQ6Ul0wf7ZO0YRkWcHQIf1CAw1GxDiempJuiq9qrWG9sVL/EfE0Ts4d88fLXOk/NY4Iyf0s9
aO+GCliiQ51wpc2tvVsvuEWPAI3NMsJgdLGgb4TXQdBMbfK0GIkXitmY0oM+xuQtOtjY4TrKC+Jx
veAepSI/GjZImkbRILu+sV5NRYhkdmscOkWNJIAXY3SaVDEkNaiSo+JL1oo02Xt6s+0u9EnFoeRG
7a5WGzblrCiVneJVZopc6V4glvoMzxJHmvMkFONSIzLgqwKRv68qNAVL+719yVFZVaSKYTpZIEud
msVJ6m0s4S4ubczCGi4oyVkqmoVAG+2+VKpdS+l33YuUF3C/E7hK3/vvuQb+R6bIvio+f/39NcBj
f/bcrg15TEc1KxH4KCrt92sAUSwdOHJCU3IQq0Tun9cAjTo/sMhQx6MC8INL5cct4P3BUf13c8s/
mFUyEv3lFkAFpKM7IosDaZCBRvfvt0BauGPWoq+WqZBB3DcwrPoZJYgxo20dMWxt5sIuNxxAut+J
4d0gc9gvTVnehEYhjnIR1m6UI1WqGS7tHvKA/aGORX+Dk6U4Cov/RDIy7jMD9sIYpj3zcqMfgW70
2bk3+TMtJXTD5THWL6tpC+x1hgLRG1p/kyq0vHmhzCO40XG3wRPoCnvYrx6P7GobXzAutnYrLLsM
+rHWMQR6zWfMyAMbkxxwRjZVd0UiP+cxZIIhxy7dMGwbD7Gyyi7KNJuX3ezTo/CF9vgltXXEl6/M
tVRNcpNNabm1F+1TpxUuiRMDiQAcQIRHRMxTySMCkgoYSLX/QZyW4AnrWfft0juNlvfujkNJDOJE
r618vbk9PYXW+rjYxZURInsto3QC7qQtAb6UxB9yt96u1tScUbu+oDTTeel43mhtovvTCD6/GOKe
4BEYKHjnUAuJaTkUYkwPmgkRo1hJ3YXMgdAgCrkXo0XDSG3RdFrp3TJZGnLi9JRq2e1K5p4V9ycX
CaMP2Y2/PGwkWouKnFN+1eylIlLjU6K7Ec5xAzWSV3fxjY5ZlLAhjzA128Ndj/Fp8IelqHNcM/Hq
VzM3/2q2ZaAJFFUhkLCvedh1Z7rxDNEkd/dgD8sXE2tOgHe0YW2vC9BfA6exwG5+B5n1C71quOnS
XiAvmuGQd0Z37OCvBknHPBX9mXeMiNTed9FqM4duWRhtlos+Mu1S34pBWjFtyRpGSCI+a5aWk+VE
Usp9lOq8U6WwVXf7oOFkfBJGm5zINjGeZwHKxIeFRXbyMnFBLUV4U3Zkb23alApgr5mDea9FC/aa
HHHdNbSd6CyBHs95cRf1ecFlWuZX0kInMvV4xjHoRIQwOAzvx7Hf5+lITleCTnwzmK52WNMVk6IG
DOIjlv6BiO5RZs8rYZ47F6069JESWJXZRO2xz0OQtPzjb5u8w+S4usONPkws9ird2NfOUqOXqxCr
Wk5Mhm+LaHxrdDymn4bhAHi+vjJpxR8qtLgnZwGJUHoYn/Iy5gtH1PF0zf4qvGKg4N2Ey9wek3xZ
9kPCGsDOcbAQDjNvbYB66FosuXMJesMpY74zFlTpGLXRBjU7G7rOgVnwsiKLx6uF6CG+wPvmsJo+
wUwZ3ktPsATIAL+HJDZfTWnS7YSV0mG5xGzfURiz70uqsnxKSgR3m/CCBkTV4N46TM8/qUn1MRPk
NBBwaaCoSTzdDOY8YmgQrhAAcod6oKxEcwwJmSA7Kx+DMS4Ze62e6+eDFt324YyjTpTmqe1iy3ds
qc2bIV3KJz1ts6OJvabdWPNCUI8V5lCURDHie4FRs03BfCB1iV/ABneUihiFVGJa+zxk9vwZsGoN
m4YcTL93dNa61CagE4WiKOory02AXnPV+PUFsYiDiYZNzVe6oa6vyrJOzo6avIi+aB5gtU4JR7Bn
vWVopGNmDPbNoiY1lkMucl7a80PjmksJgESQy/GvubZVztPvu7dj8Xsdr3rkf3o3OiwTUYZOrMsP
tPt/ejdaMN1ls8jhC33Q4DE/BuU0aEh10WoI2jRp2X/xv9h/GFhSqQGEJNmSttD8RxtGbKq/9m5M
6CW/GtWzMLxfo6uGWXcSgDBbeLTmtmwJCUGlCo4lHt0NczwBWjSqry1g6YdKHwmzzMaWpDjdjF9F
WNtKtg9ftwzNx0jq/Y4oR1ii2dnsJlq0ytPzY+gljT9aYDlHzSIwOU6yE3fZcMdfr+Q2Hz6NaVm+
6hwHJ5A9ZNyZpN0pY/4hNUVDs+R8JBAe4adKxytItvug4aXwqTWMs6NS9LjL2507iRdjEDBDYkTC
tE1gSFQGH6wmTPI6cGJdpfPB9nE/tlZsnwfRe9erSvETKs+vJdjPKuik4jaOTqVK/UOWS7GNPEED
8UUqYB+TD+i4rAlcnB4BuwCwL61AYOzW8ghknmHkRPKFqwD1jkLVR4P9rVHw+qhQHHtLi6sdvEpC
MCJ3vbG6Kt5LV5HX7AZL0Maw9O5cl4LjYUEUeYrMhOFoUz+jAEgRek1kGFYOxCI4TDjOL7z9pnae
UjgACKnTe11B+Zmka4QoAurH5uk9J6xxd2sZ1l/xenLHgpKez6a3R8HxNusjbEQbnOZCiSTSXY5J
5NZrWvlmk3t8qicIWYnNdb1ADPDTiZZrLOaQq8izrvKKfXEB5PgK9hrhW27ifXCaBrlpX35kgJjD
YGbXQuuuk1yFZ3BmzJSWDO+t4gvxGHRI/HfQ2ct6Eo7b3+dmNHzRF1nuLBCruzUjXSiUJWXWTPxY
Md0sWH13k01p43XpBzrIYa974fK1N0umV03sbbs2udFBMWxmlwTpqbnKVnDTJqK8tNC6oLXH+FTK
iMFE3KO9y+xdaoLrQb88/Xti+1T+7e8PvttuKH/brqiHfj/58ClQVnKIMRTSMesZPx0MFj+hV/mT
jsho6qe2QnUPjLr+I67gQT9XhMRgYLVnogPfRPnx/8nJhxTu7yefQAWHrR9yFqMzMFTeL1Mrtvx5
KLoWa/Hs3PcwnNCYp26gySEk02UNgyjv0FQPUm5iUaw7Nh7mFV510paytNzYs3lT6/QbechIqOES
vxezJACjl0fE79taerv63dBoefCgmcUGw3D0afQmJMNxVIF5nc1Hq9DfisZmdxfCLDFEA9spJ4As
zqzrPOMwYtVh+BaWHR9qCvuzRpAzRyz9QTf67KYkpHs7CHgnOJYBqabL+oD4zr4TQ1/fltawawzt
a0EtwWiqnPf6HNcv5HiAM08t/OI9pOOtLqMnF9aUScbuMSzT8LZNcSciqVdTpR4z82p4QVnFAYkT
IZE95BVWq9YdzNxITq1a8s9q3a8ozGKTKRFAouQAyUUZUF9UAnjTcKEr6YChRASI7JdDo4QFllMX
xc5oevTnnle9IWHTTg7oxg2KEtevWrv7CPiuuGH3V5LvOw3srhAyrCga0o483lWIEyG/i1pkInsI
O30vqhVWSl51th+N9XA91FN7lTHuY+KDzzFg6WZs2sQeP+qNkRzBC+onyEnm0ZTrG0xr+HVh2E5n
T73NmYE4PZd585RM1nUdF/fhNGnEslZA9tMMvZ0YeZ1WzeB4h7825uj5XjVjvWcs+2EoOhxhtQkm
L1yhuYXwCmRLrE882fqZeUx+5VjLeKizOAJasw4fIGzaPmowfQ/o90kmE81h5z5FcioOUdY9lLQH
25VF8C2v3GyXYo3YZU/GNg69dNe0Wn7TeRm8lkhr36wIVRzK7Q3LmDc0c8Ye11dyXTtT+IJETtzn
cwQowNLIH65LgqtrwD6wNi3EHsJVami5WwcLxbo7t4TjAX1jugieW0s/DTMIrzbU6veoidnuLI5w
tkbNh3FK0+asTU74mqIy75khfZNN15yypja25MhpR23wlrsRxcZhqeZuS1/APogvaR+Eeq4/XsQt
8EaXG3TW1XlFJnNrobv2ERfQPhaeRf2LuXRDycGCrMaUk8cRjazTaCcKgfyRgfX85LRh61eTxTg2
zu2v0O7yh7Sb7pMpnu/gYEjQeLW1qeboUWryA2sOcRNNy/BAJ+s89MBdAfkU46bzKi67sEXW78jJ
u8aBOPk9Sl+WcIOEeJFX+9FEvY3RCLuKDcFoSdaP1Zyse1AuE5oAYJpaVGjPemlYd9lC70gGSLtt
HVP4LQRAcB3ta4rsZq/z3dhE+ZAdVzZVO0A575k77MTIU3syfFtCJb23ydeL2c2hJaflTRygGBle
ECqWeKvBsXySS176qqXbegZIUFaB5aHi0+TH7ZIEDApJXFEU8WyBLk1+VnKcyxKcz9x2fsJOdrPG
+FQXxD1+Nkfv1iS/1Iutk53SZ8fSXNEw5MzD8aBd4aoAQ41lp5wBl4EQw9SMDgB6+DcauRtGlCNi
KzOa99FkjNsKxxt4TA28HLQKFuj2TlbW8B7abnhnZI2ygOmlr4vpvIJSqKERUW+JaAfuqNh6YCoA
oHN4lQV7WiCaUI3LEfL5GHaHtFpMf1pLZuNQUTWSKAvtemo8I3CW9q7K2w+DajftvEYtwYN6Lz9P
9bKcoP4+e1FtBBqHj18kpIL/e9ogpom/rwZOSfRp+vTbekCNIn+ML/U/UN3oJM/hUURs6TGK/N4J
IajkLsaHTxNEzgAzzp/1ACQA7mn4AZLpBwNOlx/9qAcYerJ3orZAa2RZ9DD/rBygTvnrEgsQAFg1
vm5gTDGW8xn8ZXxZqYttSo/NWLKmwNi89Qh29w0ubFwgCqTuXKDqoeKrmyScgzbMvPGdOZlW+WEK
i51zqn3Qu8nBeQJfpTKwaJUO3y/hiPAIs8R8TvvJuxn0Dt2irYjv2WqsVOTRDUxGSu2pVVh4Vxbl
HTZJYPHAUQDHxzYegWBRPPncgZ/Cqa8w82yTix0kAmhmMFL0t1Boz+2FS9+2ClGvYPVywk6egX+E
zCP67gwOZj0KBbiXYNfJJNBbRkm1QuBDQBgfhmxiTlddGPnGkKRIIhU5XyuNKglkRNMQrAquP8wF
XB9X1O776DGBcquifvhv8s5kOW4k3dKv0tZ7qAE4Bkdbdy9iDgYZnElJGxhJkZjnGU/fn0PKTGXe
yrTW3d2uVVWZkiUmGYD/fv5zvhMtRH6cQwEkTDD9iVHVlCz0Ymx2YztK636K84Kc0JCfejDA5k4o
6L85FjoD1dIFQMd40DFrjXQEYCJLJ6LTI1Xlndbor747Pbn53LOCyPun2o0ENTNL2UCVCn8AmSDS
zcTyM1qXlgGlS6tpKfBb0EGQMqWscAuUvFkxC0T2VdkL68aGPrqVRTCuvbhMHzPuqTe+N2Tt1vJi
4zOiNu3yIwbaTSYZFiGqYEHi/X8RF7X55hSR9azpGVo09Wn4mUQQodYFMJReBM60w1gEA00FiC/X
nZXUN9J2IM/YXnbn0rxznQeafHMGYT2WlkvZctNZp84VXbaZI7t7CqKY23UFeOkSa4b1YNvsOFe1
STOH0wzmReYNzj02rgLPKLK2jXVgyt8MElMXmt0WLul/nrvtiHXcXeVhW2BpErW1twqD2EGb2eLo
cDl7sOIKD3FnGPclWFAKfOupkpBW084374KwbqdL3WqC08DxUmzaPk+eTKeujXXqtm60pnmZb17P
pCL9d7l2lydd+FHQSRpv6oaZgep5jBsQLDeWmXnvyejml62fmi8dPzuxpp6kGjZmIoBeyJEwbY+d
562Eb3GmT7qDX8eiE4U7He141QaYxYD5MaXhBx63epn6WxezV7JP8rR45jNL5VpszpddRxS5IRCN
1zgdc3BW5XzThVU6g8hjVl6VYg6+TJ1WPBJnap54D9VsdJmgdlPQJIfA6PpTVmXhdhx8OzzajoEV
G6cPaKum9GO634rp8zT48pEwh3jkc2pZ+zGWpY+7tzUffd8h1xsD3aYymv3hbZcH3DctUrgik/Y3
20u8vR0042Ocy+TZGYz4MTTTuIVc3TYvHhfmdhXFTncNYtk+tK6V3WpG7+zc2rGugzKipmUKrYu6
oI24TwL/gPyf3fRgDq7HIo2vh6DLj0mMjko+o/wYTV/fJNDv1jaNwl/c2OqfO4ocdrUB2mTVl4N/
i/o4TJukhyt76qLp69wq6VVQ6cYFPmLESfSOQukwNi5HxvxqZTGmPpdxa7/lLIp3HTVQvCGq8ZIl
AFuArMvwlIdVjD0nyE0WoHNgfxtHi00kgLxkBZcnP9QAiMkchrpzmwYxZEKfn/2aLejgrUpfWrc0
KCTtzhhk+Y5hyfnwoAm/zMmUbnRaMW6psDHPYO0Z1jRnGqK1azjdjaHKRNBziuFi7uDm6ow0+yKP
xnMSAGVVDVUJjpWohIVOyPBKNhMUMsHgvOfBblhgdTPz8AAcdxt25Og2oQjag+ZX3skGDjavnAwu
Sds35r6xI5uf28wcfwObg9aKFMjHHVWAwLInuHQ3IT4qAFWlDAi6qN6LXFVgGEsbxrQ0Y8gc0XdT
RxbPUV42oiZZSZGGMalODQpT03uN1qotBRX1TVpZ0e249HGMotPE1lt6OgpV2dG2NpuXpcejXTo9
Rs8dnaOrqj5CVfrBBdRLVv82A47JqvLvB5wvxes7M0zeRu30E6pBfdGPwYZqKLzQYBfAtVq69ZMV
mmW6xLjjwmnAbcNI8UPmYKwRkonDQ9ol4Wfof6xlGWsWgcOTkByWOelX5hrWmn+da2ymGsUptNTm
GKvOn+eaIeat3KYSHj8foFVX9+lrEUc2CIY03SSBzT5HKkqxH9gFodVRwYvdUQNkTLdRsW5dcKRe
QI46SoAdK1dnvU8UfGs147x9rVj0AwXgsCpd8ZWARHNDNh7fB4IyWghZmUOn8Mq527TXIHhgLgsz
9Nn8KhQzc0fw4scVvoxQNwEmd4YFt7lNdfGl9U2bhoOF7GwvlOdmIT5PCv6MJxkOdAuT1Dhz/Gj6
qpy05ugMOG3Ak/gheTOCWEw65LjOpDdgTNstuOlcgac9haCGliEoVFJcan3y2uGQLrzqcWFXg4Wq
aaxzNJjWTtGlEGOq7tYirffNWOjX5kLCDhcqdtuHGRV5gMgzRiRrKh6SRM6kM3xJgxRg7UgHroSJ
FitTSSk45wYE7nHW5n015DJ66rUx9Y6OwnXzV5ivTTcNVJVTl0zlxsL2nhfOd74wv9FE3FPV2Pxi
AivOE9QYAOGOQoUPYdfa22S250dM7HAA0au4O04c5lHeOHuTV/K2aQLg0KzOsVu3EoJ2iWkbSOTX
uqIDwkqQW2mrumUDGR3NvrcPPYbOK1qB8gsUiuliKE3K21vaoFY4DJOHdM6nlVeojmPplMfUH71V
FSGKkR2nczmuP/Ssi0+OR60Ive1GchWI2UjXvukG1GZ6nm8ctEAOylrCFtg9cVEY69u+xBD8YvL2
nmFmmwEW/nlGuy5XYHegC67ShP3915FBqCQfyWb+vh+x/WPbnUtJH6oTUCyYmeXW5INDDhAZW39o
1NAjlvknUqNQTBgoWnncX10amX3P2s44dV3kL4YoJw2LN3gYTFZ9yO1whQDl3Dtk8C8aNYSlAZ8F
GuAZzWo1pA2TYF7DrN0/IQf02QZCi3Uq1GhnqyEPSj3jnhr8smhiBFTDoE952A0Hl3c9LLOiCjRA
0e/HF3OZJcPJZK6MMXlHDJ6Mm5EaPOn7GC5cNYxm+VivHRat5SZVw6pQY6u3TLCpGmbHViaPrhpw
U3AKUEIb66ZIcnYOtS+mZD+ofi94Pu7ZXEq/OqEKwKhaGjblpGrBdNUQ1ixlYVEUd5SVUCE21nSJ
pd9rxUwaxoLCw6Kw1I4xIRCXILMAIlL1kvHrHXe0R1FWNuO1D9DFAt1c4yzD5ZpbIie0Q8sZS80K
qqfltgXUYSs+O3UbE8BX7WhzoorSjDpwbsRYPIA+dLCpq515aU72lb8s0oFmmLfVsl63hqYwNphl
zafAiaYZ6Axb+Y76ggjj6zg8pgmFKrvUi/QZfiObfoXxrPaMVBEUNGUSQILum3VFNxx0TvJQG6En
fbOylPmgBz/RrOnyanAbBPpTpvwKv36aXkVvaEjFR/u//sfb+D/finKqI/K5i0nnj/91Xb7n9239
/t5evZR//Sf/9IXN/1n+OHgvNi/ty5/+x3Y53W6793q6e2+69Ptf8uOf/H/9wx9n5MNUvv/v//7y
LYvyTdS0dfTW/qvj8x9FhZv0pX1/+XtvrOpG+kNVEIQ4kQLwulrELv9QFWwbkJyHym8TU7Idztjf
jl+d41ed2CwlJDwvVSL7Q1WQn4TDcU2eXfHXWZL/yulruGqJ8BNCHcGCnJPaMQhPLWz/A14QW7Xb
ZNrOHckj78yO5iQM7kHIbZwXLdEB26vcU28bNpEChybl2yiPmvIiR6/65lErFl07bSiQ/0k0YvzP
uc1Vuk2ldS2rD33qpkcX9162wYM0XXc6HLeVXIIO9VzI525JPxCDCFUewlfJCH8JSfQqL6HFVX7T
qgxFZoX5W9z4xm2pEhb1ErbIlwpIlmnUQQ5ELdeEoSiJpCqSij4dBxbVkkuRZJXUlEqKpWCycrnL
realeNK0IRBBZQ9q+6LsM97Vkmd8g1GzZ/mp2isBVljiYKOM3IVLu+XYWo+Wn+WfpUGvNzQp1Uxm
Ly1lka4ayyJVXtbC27solkYze/JpN4s1l6azAvwopPelAU0sbWitKGR09kOXjSoGB1GQIVTtaSE9
avbSqOYu7Wp+YrXWyuZa1Z2QS2dgG6FqY5tYKUYPmSppAytfYWujuK2RZQOj3hqoc/MNYqlLx1uA
El5tqqX7jSDBRwEnKVnV5IiAzpZSHhAz4mTjpw2FscwKNlGevN2LrCoJ8JvdlJ8rqZWQ2bPMu+W1
F97PSeY++sasfXWrkMKNPMYOlHoZPRHTbCegg3DfA3M26+6AMwxAkymKa66ixrWGsNJuaNQNwtVg
d1m9jmxDXW4icmGDY1YXDcm1hEs7qChKdLz5Vvdlo52HmF2FAEJzmftu6Wwgpjs3hmOOqNhTI/ig
eUn9WrdGdoArR0XtVJP5uOxcx7+ilBs0kI+GwotS9rm1kaWlXXKv99zVwG4B6j7VnAHnWGpQMtwP
21SnGiPpoug6aBMBgJo8TL4aKc1kQ4tFmAyFF9Ai4nL7+pJMMt1avYAaj4Qbvg9pre9Y76n7vwPE
cK6t7iXo2GBVtRUc8tkPtklFhmntpln3BbsTxC9bZhSPm6kZ3flCus1R0+o2uawo6uJh9InW8ekk
u/Pr7/P/am9ql5eXpwqx//5udHr51uX/Qvz9/Uu/v6TlJ2rwbH7LusNvQpldfntJO5900vKqDg9B
mNsQUYTfX9KqKk8oIDokO7VD5jv58ZL2QODpuGc8g0g8K2b5S4V4QvyHVTBsbotCYInWTA/HUoTx
UzW3qTEPUrnNttQgxakH3ldDSoLYzShzH48njdfHGIvYOrGtTjuDdJ5vG03w5LTLUxRk1DtZ6tGK
l6dsXJ443kM8fYGlnkSFDbgG0FZek7JqMJzxyM5kJMkWzBUAsmx5qovc5QnH79rea+qx19ULIFGv
AjsHtXpbsbTd6su7YvZAoK2juqM61JpC0g6YBR9bFBVAtEXiHYRB5hMQ6axY8HI+8j4jDKCKKi13
orOSIUyEO4eiy4H7kOFAtqoH93NMPQ8mXU2vx00MIp1a00IY2HGM+tLMjPRpLCuW18hLWaOkEnEe
7Ak8h+v3sMH0ZhLY861gPo80UG7LnNqGxE950+ulsYncojqRnjSehpJd0CoktbJqh0S6B9ft1HVi
cO+1lDX6epRJVJ7KCH79bGqs1UtTT7/0hZc8SKlXu0T30do9gnXl2AWbSB/0ft/rybRzRds9p3qZ
HLu4JNTIfp3eQV2rr2yrDa8zMUc3k4Muv5pKkuZbBtN0Xtc8DEeBGgndw/ae+agOH37fFc+R37Mg
ywprN4xieqogheirhsaOfke0n+wcx/gLl8M52ApemNDxo7Q6U8pKCVFGbx1doM7ZDlzW4i280V2h
afGVX83usXaN4c3PxXz0/Dh5IlwGdz01fPc6yaHr5rHZ+/vMpaNxo5mkYzbgWa2LyArc98YPnA97
1rx+U0AoR5jiFuVBpWnjN4igKHRkSoCb0LpCt1PJZgVXokeNCAlFT5XVbRytpLOPKcKj2rQv+QlG
nfnQ+31xE0s2i7s8MV0iMOnwxK9v1PetY1MjYOdl/RlYHQ5qNwXbnbVTs6KSZTQZ623nsVCi5Vrt
Ha013kia1PspjQ6GYrjlcQw/LDVj7asR6O4p6AAcN4DGjFXZgz3GQuEeIpZ3tLIARQZANd77CpSc
SG+8jzRwiKaX40hG1lQNxP00XqQLaTkFNXsTpJ7SKPlQp10FkjnT/Xidsx55SalJupgWenOalAMI
/CwxBfWoAJ47TwdRr40w7FfYWALQQ0MVPQl1Hgc574MNTU7u1egY1dOo9RZDkPdRAmR/sQiaZiuB
NS5ft1GE70tIhpPdaJj9ikN82E9R3EDJ8TX7c4bVothM2DefGru0nodGWndlGJY5d14u7mE75ddQ
aKhs8cbIfSeV3anbek5XnxMhtnjkgs99Vpn2fhon/jK9z+crzR7CFz229JukMVA0M51jTWP9fkxD
x7qshiZgCdL5bELt2HduCT511safSi/aSrrr11o0VzeR9Nqz3cbebUdn27wGHKcdY9ehSNmbqWSQ
85Rs2slL3l3y8wQ3wW7sUWVxGTS1y1KWooVm2vkeInnFsoVKbf7wrNPe+6CHdF6u4kSW2Sb15kCh
xxrMxp0zHMDtF8Z6MNFr6WAIb4K+sCjAtcZwDZ3iqzbj3Q6kjZM7pl00Hunb9msn6DdWI4IXPPUF
VXy5H9PYJ0drDbaaaDMXAgvUfzo9V7o2ytUwenhmdJmQ7uJdlj9CRWk7nOgteOfeyrLmwYgEtQll
lXwpGD82PoPOritzf+e080DvhGYhW/tdd10lEJYuvay2tC1ZAuNKp2AmXict7Ya7RtdrgfCPe/5Q
5+b0pYp8K1kVtO9dCrZnuOXnit+kSSmfOEHzjnvcg1MkoIcH9ruuYVom+p0e+VZ7FBRXJ1M6QBvf
4pjuFN26rvbtxIJ1Q16VW3KE1osXMghgXEFRRTOe0rbaSpzH3WEowGLvWMlQ5qET6SUwLE2SsUnW
9h90/gQUiWRpbOxDVlyQmjLHdvf/FjMPXDVucf8w8wwv9b8eeb5/5feRx/lk6hL2lLKZ4+BfIEHf
t93mJ+KLXFkll0IUCOzBf4w8+idAKMwnhgJywvL9+V5K7MehjMuS0kblxa72K2kdV8m+P11MmXf4
vhihFFqOuuG/koXGEj/nGHKD74r2q6yrls5rbXig9dB/5PMYX9h2W39mZ2h3R4e3F/GXmH3xCsd6
+ejqdXpfzKbz4WspWpsZVRC8CxSyW0rPKYobOY22ghvhW5hOlFh5ZFL6Hak7p9rogM+4izo9782E
VhBatXlCb/250G9MI5A1a0bOlpVLq+d8GmB31BBdqB3zyjS5ynURRysT1tYXrwuDt2lmhXhq+xhF
xiuV00MnbOrvBzNKtbUw/YZLh5znk84FKNiGaT5+jNZY3IlJRDj/1cqQ0SQXB1qP08cUPZYOGsTq
Ly55yEtDyyjF9eEt3kJuBZs06Nx5d4YlsDd3kd9G69bQxxf6D5jECG6P606yllz5ji+41xN5J4+j
KbuOU2f2MROJ2ZznvEcLlSWEkW4sLTpm3LzfJTltI/uKfcG8HsBagEjgk/S5k51drnXin3eha0Zn
l0bK1zafx+IyGAXRSTa2/RuRTqA3LPhEcASjKrgfz0kx3glb66J7jStYfplZKT1ubThlGHOl95Ql
bnaOm875nFMMs+Hgsi/bhBBEWvNrYTs1vAJ3xf2skT647AiK07gTzsMuDtLybg7jdj8rEoaFSStV
sDVQl1rU3SfBwLfZNTpMhFiOtyhp8c6As/pFpoV+bOAZXTbVEO8E7LhtmurxjuZ2/Ft+n0TnaE7j
z5Ys65Ne6tVrU1RogRkdOsPIjxOfdzgcw6EPVATCjo9zV4tx13PQUfaTY+Nb94Xoy11Lu8huqpLs
sbamDjFzrsIbvD5g6QpkYbXKT/FiNlFWcdJQC7B2+SkBdmbuGVd16Vavha5H4BtSPfqYAEkfZCVo
SU5CAzpLAevk3MIZCVewXBAWAEun1V6vXN/ZpEHrZtshEtFD38+ahoc9R93mD8P4yilVgiXhgN/6
LpGSMuKesDHyUbtrTDmCrGFx4rIK/NZmenaAy9Uda79ILr0R0hI+aeArfmftXM8XG/BO0QZrDRyT
WPZPfZWM15jxrb2bQegkxkpJMGvcL26PkTNm7DyOEDuxpFaErwSNc1d4S/jQDbD3h8ooALqG4nHO
dO99opR6Z5Lu2rPOT87VZPqbxsmbt8iO9YuynsKP3JHzxs81GwdnFl6JwfpcybZzUDlsn8PVpu7U
Fo7zeagD6qLK3vG9i2Z2KO8F1mK9l26dnGx6Cm4lGECBjFNQ+mmPWd5dzUk3z99s6ST+QzPygdwl
ZSS81UQrVLF1tYZlhYe1Q259afPfhVfSpIwbHpqe2fPWvQp8w/kchPnsXmv+NIvDUHfFi+NU1E8N
dZS+dV2ZnMoC3gf934FxSsUYJ9s+GzwAzyDCxHpwaVw84qBEsuMDU1vDeopjTZxowLPbuwTR4AL/
zLiKWEpFF4WbecGeUafLEU6UHROExzHvdFqM4lz7jGjhXFlZODzaWUhFA/UVOAHtQuMED/AdnUvT
SpEoeHSzjRlZ1jlsTRM7QILkjiMDz0M5DuWwCuhLDUEAu1O0SRU9DEyzDayXtfxbA13Y/0/I0f/V
5AvDQZbieEVR+IfD/CX/hxQPX/r9NPdQhdEIVIqHVT1ofSaE76e5+8lxCakrNgNmd7Q1Qrm/qcwm
hjcLZDokLGVgszmDfwgYaslr0bjuseKBnOCav0Zg+Csn8A/zGvFgVVnH3PAz7qrWsH/1ttgX8UwC
VfB9AgZU13lsDsXJd8aQHF6Ql5+dFBcCBDgfXIpbGS+hFlKubES6/tFK4oX7aW5OlZtiPOG9W51j
btPNAQq4h17XQpzmJZQ+j00/2sdoNtSkPtSPMz4L3p92Fj0HgRbF914DrXNN/7UzbTplj3CMQtun
DJkzfWK6d2rpJjm0oomwpip7xcxNnsJNsCvFxlIGDG/xYvAG8a/cxaFBCifZp4tvo9CBexvKzDEp
W0cajcOFuXg9tLHvbkhP9xGEduUGwRQhzg2Sxi3SQLoJuXu9BCUGkjBuqncQgGm7q5TBpEl11paa
sp1QAYoDJTU057ZZfCm4NfJDRXw2gZo4cTymo/VNVCMpxSBSzpZcmVw6JE/uFcr6wp2XU0bZYWB5
WG+2ssh4LZU4K9tsjMti8dDYyk7Dphtnja5MNj1um3Tx3fSLB8fVE/9WuD5VBt2MhEE3R//sKONO
qiw8BubzDff38iNVBp8iMfPjoEw/s17Laxn42Y2pLEEztudV1dHxU4U96DwNesF1YOIiomAtu0W+
sA8VnT/X/mI3YkWA8wiJv8XcEiWPUKBwJimPEjQJHOFWY38TCbVtvfIyWQCBSPH0bfBOs2bgbrox
MB9T/LU+4a9UWPtSOaNYT0o8Tu74uVW+qWaxUDGVYqfCPsWtMVcuq2BI+5PTJckB7FXaXXhupYfr
VFLwbtZDeGVXfnwoAweoQlcbxMnZQIgVdtLpuc0TuQ7lJG4TJ/NeE8Qca5eXufm1D/vkm9lF2is1
ye6HhBt0GJHktvZspYRje+O5TKRxPdgYqTKgvuehGYsvgz1SxT7MrBOwU121Y8yhQSaPH7wWCbml
a4BcLHSG4dnlR2at4GoZt8lcwfJ3ADF9pSbQXAVOUHeEffP8iTuCQz6N+1lY6oKImJO845Xqua7Z
8c3gOOB6aSN6cI1W3vWYfx5BKtTxRgtpg2UlfGKiLl+E2RbXkYZqi1+j7bOVRUSUggB0/2c8ZP62
126tcmrPE8rcSjpZcdGjil+H3igPJq6OY6VEpw4C3xFBPrlqlCTllTpgeydO3XMcJkDxQoF41fTV
eW59FC3sqnqAU9TKXwoleVESnaB+LUpYr0SxsA2ByCmhzKfB+1kq8QxkkvdsKkGtWqS1RWUbF8Wt
wmQN4UwJcUYah9emEudwT1q7dlHsEiXeOUrGiyuo8+Gi7RVK5hucJL2aOlneuEoE7JQcSDF19iVP
ezRCru/5/bAohzj+UBELLcYVICttFQLLcQ+BEhxRu9AemdGMp1AJkvhOKCrwvOBYKLlyUMKlVpnT
uWkjUzs6i7JJ1FpBiJXgafge2uew6KCGkkSjUZtm4ueopf//36B/O3Y5B//p2G2b6F8tDn766t9O
Xlb+mLKpycYwy7KAo+37yQvq3OYajU+Kd6hDxJYz+beTF3sV1nCHOzY0k+88jN9OXgOzuWT5y9Xb
ZTcMEONX7tHqsv7nezTDKosNsmx8F9Am1T37p9VB6eJscIhXNx4ULbJJ6KnO7CKtqqb3cpFbe6W8
kprE/Zcsgqw9S21DEowTD+BD/MbjrHmbwg2NZGMtom6t9F2nG9x3R2m+/iL/posUXJfB6O91uAY3
JXvF6zDmJbyi8CYBFc5TPqjn3VNPPg5Ba1XDC76OzLkD6MJLwl7eF9SL8e5wUv7NVnNjFde+ermY
eeCeYqxCDApYIjr1EkIMl3dUoA0PgUU1howT6ifHGuVKvcAi9Soz1UvN4e3+FAhedOHyzmvV689V
L8IkB3u2YmFo3MrlTdmql2YaVDiAalT3bdOamrXuljdsiyR6pavXLj/V4DSqV7HpTtN5VK/nFDfP
tTSk8Qz9MN21Gi32XLang69e7V07aq9x5SffYt0wv+o4VKwdeTLvtWV+uUVrlXSWlvPzsJwbXe9x
hhTqOGmpLzkIdcSMzVy9+Mu5Y7S4li485QYWizE4Vh7hWbmFPSpuv5SLhdiniloZkXEWZzFCfbvY
jSPTJHiKBTmj6xUzshIZRDO5Ccr24N33eT7zRcrIDJ0Jrpu7+JutKu7jbaFszxmmpqtCag11ZMoQ
bShvdLzYpNvFMk11jfkSKx81oRjv3VDe6kG5rHPTphBtsV7P0gs/ZuXHlkkHPIBolaQWid5Q9Fb2
0GTXWJg84UHE1G0of3cOke7NnblE2GlTtN1apIVNQKkb2KHmgzYcxhDJYzUNoPQ2Oe2uIRmjaY42
gjb169nxNGWubnWL6qA8m7YVEom/mcdW94/ZBA6lX5EBEwVauZ76L+4U9tOTE+kmabkUJ9PWmdux
p7bPpKg2nJve/xo58Ai3s9GXH65q6zPbHquSavCbljK/UVLhCxVzPjnw1DugUTW0uhFbr7mxl0JA
XXUDtnyeWFsL59VdqgP9Ho4VuaKJSkFPqnrBObGCK8QycRN0yPcngAztQWKmvxSqnVAsRYUay3ax
Bozb3RbtQNITI++mzMNuPeZqIZ/SeDgJvfzmabr31i2FiIXqRqRCPXwB5JV7DBDSuwnKLr5KOFrI
H6tqRU2jZZGl/dxsuzzdQCmDzugvfYwOZt31mKmaxtFsnHIvIQ2yKaLIEUAMlY6RanfEFtJ+CZbK
x6HMBN30qgkSXVdnV8YaMVyWNGkczA2aNLsbgyrnvaX2OaXd9fnBW9Y8tdr4sB4h1rasgTq1EQrV
bujf52jjHf8PR1sR/D15XkGRvp9rdHiw1FaMeNhMiAjqSvf9XLM/CdNgGS5Ni/03QjAn3o9zTX7C
Q4QvybalZdBcav2cjqYQlQslN1SW7Ab/2K+daxzXP59rOIYV049vAew8RCdXrcx/OtcqfwbgAKtt
Qs+xn4ZuMPdxGcX7LMATuy3c2O+PPOHzVeq1GH54jKaTqY3hRicqcJH27nikbp2WZ7Bi2BdFPACM
jINjpphuZm8Ur5Xl23uwxBoexoq/SWtk3K2qRC/Kna4JPuFOHtc39uQUlASDljNKrYHoolE/ahVz
h6HTNygW62F/UorhNNKFdSyQ7XCm7TLO/od6BhQPdKLYN4M72BdeqlXHmojucxPXISSfepAnObQ0
gvVZQemOFTNqbxsCwneRrO1uyz0ipNMxGlJ7nZK1eOIs0VWMRSZnrZn74L4AkGGd3Tyy2cKGie1v
tKEaxh1NSkGxF46ZXuiJZyNXh9ZUbqRZBvGLbk0Q4f3Q0LQM5mFaGfu8mnIWoRFk/12gIt1Rpkev
Gm1+LbA10FWkmxKI9Qa5q28mlrNrp/d1B7MzgWX6iIRq4OrqEJdYHvdnUc4WoBtS6hf4jp19Fur9
DQQNc62MZ6vMhxe4tfKpv0lEEZ1idxBUQs/jWYP0ALHMtQ8DbMKjnAr7G6bk+GBRKHVrzAKHZFPn
OpifPtwmUj+EOJv3CQh/bQeJz68PbmroV2lfuMZa85Ppjk2XjElzpC3cOMMprlJAq+JzIjX/Swv6
t97xsvZdLuIp0Ju85d8Isa034caGmS8pcBnJ1ZiVaNZO38zZKRwm7ZU8VfsFWY11gK82A5PaEYzL
ugAQBauDcVkjgPZhpaCp7UK1LBp05omTD6eW9YOTBGoVgUyxSlJ4s/RxqXWFqTYXg9phwPEHYpir
zYaxLDk44ZgjgilzP3ge0/vSy1k/jKnNRzdvtFzZ83KS0lkJPgvNHlOBkGTALa2XL6GeDV9iDAJY
oFBRH+rG0vDO6+4t2f/kiiY3sIaq+wBfXL83qFwor+p0Su5aUXFVTFoRfTQi6b+1gV3eNnMB9wuL
RUdez5jv+ASLkzfQrq2zxTg4hhaCcBE1wY/OgnTpW5SnVlW8Ca1KBxBmU1OCSHWN31A7RHwKt/qQ
pWwJ9LFkGRC9jxk9BGqXz98Sgw7XC/G1r4TWAM2mZnBjLkV+uur0y2dzeKUKkGocmLKU/hlLAaCt
ugCpVanGddK0zUWttx5tAZHvXPhx2Z3apUywVb2CrdWa/H5V2yCC2lYbunHfL1WEIF+8vSXG4Mzp
RlVhJlVt4aAaDOMkzpLrrlfFhqnqOPS/1x22rfUZZlvo7X1P+BdcRqAoer1WUxdoxO09/F7vPlha
FHX6FGe9cWa8Z6pmUarGxUJ1L7oiTf99mCCK6vr3p97u/dt7/ZL+t/ULbyj+8+G9rqO2qKd/Yf1V
/0+/HYKuiXuCQ4vbG3Qk5/fojPPJ5W6GsYpFJccht7vfD0HvE6XgjoXgis75Q4v9cbmTnyzbVXAk
lqQmppZfMu+q7tW/HIHq+shqlMNYR+Pl2/75COxL2wq8ON/WqAK0EUejA9G7El63ko3Rx7ugYjm/
5xB3Wzr8hPZNInr661FPoNtOk2+/ugRbcWHmrcQsGUbTI/lYCtYM2+0uO88u20NXaZN+S5isAZxL
gj1cjV3bg8RN9at6cQCIMQ2fzMCZTp0yBwAzLAi2jdZ7PsyU3YVR7JqrsA2sR8QS54aXrqx3s2F+
6HK67ELToWJOdkCc8BJMsJuH0ZgSALIwcm783knij14DIXuyfCCgNXocC6f4PxF+///azS744P79
w3H5EhTN3yfk+drvj4P1SQDjwjLAx15ltdzfZ0I8AzqZdD7YNooFyugfWofziX9cLRlYUADZsVQP
24/HwWFrgf9A2TiVz8Cgb+MXtA6H4fLPzwMxe0ZVqcQWQYXwX0bCVitxwHF3rGy9DNYO09oV9S0a
KS9BOnNb2oM8Qv69FISIqQlNJZEWLrnTllnWA/Qx6+fEY48JU6bb9fA7Ec59L+jg63phCiXHYbKi
QYCaMExtuL+BMOf+Stqhmd0NOumkO+Fr0QBEYwSmFccDYxtk4CuAniMPDl7ScZvls3LSYyGnX91r
mC9qEkNeUDPZGM5w73WS0qQ8IrG2NWkvmVZpVSVwVIaeVWk6UvDYNVlBJyoV4iwAE2xQAKuEc20B
BcQRpBff6DPT3DVuo6nfJIUed8c8ctIPr65OXRlP4pLS9mZ6aLjr59dVgLt0O2H9nDc6Bke5zuoq
c85hUzriPPdy7Na65rDcKNng1J9ht8fZ3g4CZzj/+1y5kN3+/vk6vzRYcv4JQsGX/yYnshNUoiGa
IveapZ3mNznRg7bHvYcQB7u8ZVv349rF9g+JnVJiqbQ+DqTfnzD3EyYag1MIFp/NrY2H7xeeMEOF
Vf78iLEFgGEjhIkNCJ+pOpJ+unVFZtRqTmptMcQ3a0gv4rUz4vxxsKP6puwa77IIKkwjprTQ1XsN
v8l6KpqRagN9ikwewRjKk1ZZmDoT4m5QYyi+p4/XcPz5Ugwsr44wQPGVURzi6heOlwafu9rJj/+X
vDNrblvLrvBfSeUdLszDQ1LVBEmRmidbll9Qmox5nvHr8x1IsiVP1768lajS7Id0RxYpgsQ5++y9
1resAmzzxq5Tk3yJngbgtnMayznIchFBkcxxFJll0TfXNC/CoFhKDRMrwitaf7I/TcyGcD/rBeEW
c84F2UxIc5scQY8bjWGdLlAdSLY7RRbtLYnja70lnio8b/IY9NXAjgi+R6j0mZ4Psgtezl9VQsUf
CD1/hjz6BncNIn9P6P0HofxPC9V/MGY7QDLiDOiwg147xaBdV5XHKCqwm2Oe3kjQtgpXAZxgHAZy
0IQnqbAdICjtV43WKceK0dbHvUpCsWbn6h5gInPBmcc/oLvooYIlAPcod9oc6WRYARxNpYJ/0SoV
JwGSLFZGkPTHelNk1mqcSFM7sBijlBzslOCYMUd1a83WiYCg1h5OE46KfDZXEPmtHg7CcWGyK6cL
1QF0t4prcLF7QczJciFlo/3Jl/PqkvNbme6Fs1rPnpV71aziqyEHfgbASAA4llQyZr2w7v3lMOv/
UIEl7aYY2zJac+LQMjeaRYMK1z9fBmw6zhJ+BM63VkgM9UlDBVs3rb+i72MVKfp2UZ+YVauGBxbN
y65hzS7xx5RKZ9wWg++H76UwMAgsZlWGjaZ75BgtNEtvjz2AZ6R+kWWJOH4+pTLN5cSqiMMrIUrp
PXE5o+SW8+m2siJOuoE49OqTJeODyVWO8fOpOLYY+O21tMj4Msc2OhUXLlsY3QQxNqHlNJ+vBzVi
WORlDrMpkoGdM77RkX3cqa3Un1oN8bYHXlN2yoXUWU69LhQn+vjvs8D+sro/Dv0f5dU+D2te1PPC
q4HVXRxNbTKpvxQw2jvDMsW6K7h9lgZi50s9LwjlWC9ApAIIo1wRpf6Xep7psAzhhwYZ/02sh3+w
vOqyqNhfiR5Z9GUyydBk8n+wjrxeXruReYXEwjIYMq2LZpCPBq+NYtcQrQ3fbqONNbc7CAvfaqj2
Nv5EM8SvvOE4axztMhKtEr92utOUmMR8FYlWii6aKi3tj9NONFpM5E37hignFomkj/Z45MxV9igK
bqksQ2baZZW1tuoyLkYPPDU6cstCyISrWTFcC/EwcRToiG2FIQzrj5NASo4stMZ2aCpH3qxArmY1
cqIaLcpx3vTCEHLlNG29Nccjb2UaWNvRRMbXlG0SFom6aE+BlY13jIgGaKSOFJwQtJu+V2Z1NDN/
lNLVrJqWuaxXJYY/EleFqlqeFdZjpwNjmXXXPd7oGzXRg24ZzsJsHaF4LsXNadMlVrWUWC0XmBfC
007ouy2PPDY3gL2x8cHSn6ezFBybPLJw2w6QiCM5UC/tCCHThnTvYEuMAZryZtaXq0qM1rwXsnNJ
M1Ggt0KMzodsHor6jMAQX/K23SxeJ8jYPtNTkuMXqByMPWkWu0NSbfRl04/m2TTSpllUszTe0Gjv
j23EdKS0fPuhw2ZzC1cwuKkh1B2Vva7JLrpXxdgbfBPhJsoyFNydTKwt1r4+cMlrQ7PvF3EN6FXI
+Qeh7JcLW7uahNqfKBERm6M15kczV7ADdMIZUMVG7qzZ5RHyW6hn4MLPbgJCv4KbjD92o9hh9UES
1gM/GFB2JipzM5dwTyndtoPnatAcenKIDCLtVUsddGI6LK7rKI2HJiKIhoSKeNRIqsdAvdbxyNes
3L15piNWIY9ON1MCOwc5zTcNbZ7exWASTK4pRi8wMGubraKW6k89Bfewsvoib5cMH6LxEHCmujea
UXyUwAWo9hrHiQO3VWQ+h770cuWyVihuofhH7SrrrGat4wG4kTB5Hsnk3q7StjZ7Zhu6t6760jyU
mXAdxhg7/T2PoctWC1L1gw5k772nG+lJpPJxtH1b2cc9eIeLiXpd4+tChbxwYAFCqyoyicazHNQ8
Qxqn2x4cjbkftCO+BSmnNFpEzaAVC6sjI8kdm3IkQ53rs0cPvsYyMGnNlRqaUCSYGpIPo4DG2vdH
vqOEeqUDTwpLCTxWdlc5RXqXyOV0h3YSUE7o2Oht8xzNcxBPzXEdGBqOgYQbjeRT/FmGeoxOLdj4
aWMeOSikGheLD9wb/Brw+5Kp1sKlpUa00+gyZKHrT1P2mfMAhoaSboG3N4TS5B9ZgIv806yXYQXi
Wuo+OHGh7Zscuk7UDk3WorYigIKNU5qrFFJ5sGa1MC7Dos/uBppihWtb0VhtSF7G+u+DLOiXdDSZ
KSl9pX3sEgrgRc+0b1qS5qXsw5XQokWdez58iZghxcae7PqsRPrUHMQJLPtFrjcj9xezOHIQCfxA
PpU0ED5Ze2iWq2mDAgzrBORdcA+nzB0tx/VwSlE/eW2asQrahXxkG6jCFm3vk/uj5oa83ymtLIwn
TQtfp9XSOwvdaLes894nyY9uqSmvfK0b4MTrsSzhN/UzeZWPLINUDCLaKtcl1CmZcsHUILxQE8xR
C5gMDzjsw3BB17S+VAGjn6l2mdJyt1FVuyUjCH+fLz9001HuKL/NKipBlkyynBDw1Tdg20Njo2Aj
vrIHz/rkMCVz1lUcOgmmXF7JVdoCHZGpx24qG/5mnJXJdNqjrT/rlVEg9VuUc6iYTfLdlo2QNtth
VN1y+aqDQAifU60Nj+1ZDc2VjujkVPEqgkyyjhW5O7S7Xt7Kcq1dK0JUrRI5eWbOSmtbT8JjyVQb
hPkIsUl4QZOdZWirRyHU7mBBnLdCvE1RXsoLq5KNQ/wtqLtlcGa3xpBMB7UQf5OTaRymQhAuJbb5
MREi8V7IxYE4l87am6Xk6iwrz2aJOZxX5ObKLD1n/WGxkloU6VIvxOnEgiNUN4Vm3ec6E2E3FaA1
haQ9EOp2oNNMg0dmtOLbovbJntK13bol3560cKGQH2exfDIL55NZRG/OgvqW6ygz90Fn3+oEb9Ch
Q31vz0L8WkGTT4MBeT7HOaT63Szbd2YJP+JE70yehf3mrPEXav94Fv6HwgNgE/ugbaSUoX3ERD5B
jI9fABf+8BkqGyYC2N3TgTpbC/rCw2YAyx9QN/+V8YU5jzJ0f1TSg3iec5Ri5IGOgOmHNU9CPDEU
ief5CINripB5ahLNExQ4Ge1exFTl/39pijzHsgTp4ecn/xMAZt831r784nNbTYCWiPCm6jRsPDeU
fY9nfgS6dHaZQ+r2I2zpa1VK5pqh0jhj3GpAgxB+m+eqFGsPwAkB7kdfxIgUeNMfVKVE376uSunP
yQrsONnQRcfbML/pq6X90AVqFYMnU8rzsLSg6Uh5GyxzU7LfW5Gjk7vo3SH2pnWc5CF68NGu9KPa
xiq6GHxJUV006bW8aBTjcxcqxcM0ORDhjHDwKACk2MsZlY6AmCJ1Owq/F+xUvR0PJYy1zkFhGhUj
I43uM+Eusn6NWDjulw5pHd46TBBkbuqqYmeqRpG3GqOSBjmr24wBiWdxoPwY9AAjo2cFVD2bA3+O
NLdaNgincTcqdn1H/TZ+TrOmvai59QkJk2L5wgkaYigRjPoHGP0zAqgaQcqox64s9rnD2DgILQjD
Ta/1MrbMUOgiosLUq8MQvB+iZL1SlkahjRdBBJjN7WH5H+m1ZSaLyCqp0MiCBrdBCzIQsprxpEyc
etmW44j+xVDL6Mwfyq6hhxj5V1Oo+Wea3xuf8qbSLDa3djpltsYm2IwKhHgdBOg9TcHmoxkHtCka
XbmtZbXD1VngiSK12gIoHDoN1dHEUQjUgcVhGrh4sF/nBKDvDb2uylAMs/g9wpZaXSEwUT61duXE
62iUQAEiQTqnPTNcqF5Wf/CcOmg2aIkAHcOiLshdtCkWXTOkDEd5nJF2o7WopRZYu4FgGGCleP4B
bQ96asxRFMAy9YPRWheofQD06nGrTgc4DSbCM4EJDYwBxoztXGHWqvcJNoqR9gSZRL0UoQjp88Jy
4ywia3YK0aQtmOwGuEWGCtFyDnxcPaCjO4oAFXxhK8PvzOOU4f5llCsArEoUrcqiHDLFWDGxtwNW
eLRQS0ZuAV8kR8ZNY7TOSVSMWev6PQqpZR8x3EVx6vR3nTQlCvq0IH+QDYU6tzH1gPgj0YdNRUe2
b9H+LvPAplHLd4em7QDuoaW4lVsxwAQSTJONFq9ldWa7MoqWL+RkpcNF0CrDMa4SWsN45etrc+iy
/WRuHUMss2gjzy3liPCmIwmSvDvNLWd1bj93cyuanFTa0nx4tKj7ZoCYLKUjvIpibmMHc0t7YvDY
YkMXrW5ddL0j0f8uzVw+9rXa2egJBElQ5XTK1blp7tA+z0UfHYMrLXXOh9xahui0F8bcdA81o0Kv
JDvlkpmQ9VA61JYKeuv9EdNgu/q32DXoMLCG/mLXGH/g+WDTePy9500Dbg9TFboWmkxj2GQf+rJp
AKWgUUwrgV1DUWgHf2kUw4XQWADxaT5qUr9sGhagC/oYbEL8HtLTP8QVC4zyN60MomGELodxEKW5
LXSpLzrFOTlERqVClSud+GhCQI0hXsUkjuc/Mc+6yvLAg+HRcuMSG5cpN+FnpyRFWqJaXzeGSj+Q
WxaBNNaxOuwrN6stlGKe4h1aLe1VuGJ+My2H3oIMjgepgouQk5ysoIffTLZdXxoYLD47gj+ewQvA
TFYlV3qspRtou3SYQ0eP9pUGkkDc+cYp0NQkdXWjmPYK28vWjuxbq0iQ0zXBUM9rGkOcCyoY643A
rWexpZ+g3aBP0QBRfF81JSpTyW5v47o/g87ney7pJCaxUJDOF/YYpRdyL3VEzQR6rQBZMsvPfinn
uAiRcsdWHFmLNA28aRVFbGeryHM4sOrm2BTLcLJNF1wGFHuHRaBwixJu6YIw9vyaRDJ9Y9DCDunn
AsvPiD8+44b2PnSmMxEXY7eQZGfjVzSbwGrhB0uEM2yYTWLTbBhzZvNY++gkg3yOrSxXqTPdqSw8
oR4c43hVpmzfVLN6DB4Zb1pOyuJdaY6c/AfhXfPRmWubtCOj9EqbPW7V7HfTZ+8bWgoW8GIoLWDz
xL9FC/pgBcbdsFYd6HeRLJPKFmr9dK9EbdIeSXFXgLmerXemcOGhMI4PJCnJiAljBXP29UJhbzRy
TU02Y6p5C3NsG3NpwMeFIRsNEPsGfTwo8zq5zi1UT31p50szk5OHsei7bdRnyoHW5p4rSc2ZZtO6
Iaaq2J8mO/5ocddtlYiDIuSlVr1uiewz1qXf44WQaBXB9O/UFWJdn6Zz5w0r7kb/nrzjcEnjTdln
+YfnRGM5Zu/yCcOqAw4+Y4BUbBq7EF52W2yH0FFISjDyh85o2IHkrlGPsBY6rKJ5f6qwCWxj1uxt
11aW245DsOnjpluNfqOtcM8TukzvaluQOYA0abDs60zrzvpQOlLIp42AYFqYgqf4IIABvJHk0dhH
7roxexr5UOzykzHoK+hdxSbqE+kkgbvv99INLR7co2O0JzOO+gCM+CzH+gTXyFTfB5pOBGwhVyvo
TMNl3Il9Hk4cMnMfg62Gq3aM2W2lsBvWozld27JNUyqr73V/UG+lptnMf5WUEZOAeB4YZzQa694Z
THKRig/iHwRNfxZJyjX7U7gItaRdm6xxa4+wIqBcerRnYZ7c77XssPeN6ry0an+jG6a5VuxRXqpl
edYxHiUIgja9gG4c4fOZCK2Pj6GIHidqGazzsLvPNMgSXq5rW7C3x22IEWphkJamN0CZjanHF10S
Q3FgD0nC4CLsDmyFm18pUf9pcGFujCpVrjPs6WfcGfW9maqDOwTlpk1kj4C2Rn0wy2la9fRtz5tC
JmIgCryTHADvhkrjAqyat0ENay9Zx6/qeIrOqMhQTYzyB9Xrjgx52FjiCXySuGnNMRrOAxCl+uhr
H6qM6segVyj+RxNlxwOExP2srchu0Rp5laqyudGCktxaCeVipsQ2DQv9WmocbzmoNAoDy7uvYMVg
EEuOGzEY0SUvOcA4N75H+2IxzHJIGUTJgRRNPsMLFi7STvbXkWLdj8J6o4WhdpmWrXSe1k6yVNsa
erdmXWe1Z7d7aPv5+AzNJ/vIKzddAiuFuKtPZukQIkNV6qZ4vOlw+MdRp59GnPb3ME2reNzGkkBm
IYH2jMnY94auXFUpYsrB/4Rcea1MKLmqKRh0zN+D6Ya1US9RSJKIoUtno5L0YF37AV1+H1xqKXWP
GuvTfoaCJVuwQio0oTILHZwhu75Td0vsUuYi0as4W/z/r1GeBie4Pn9RpZyH3UP1c9mI+OXHUsV6
J/iGnGLh08yowy/nWwQgjk2SnI0TFsUwJc6XUsVASiwza3EwtsJGRFf8pVRBhkKTHJsr51+cNwKp
+CfnW/W7qQtkEfiLTNQtler526nLoGUjxVTiEkEkX7A1NO/TLLSPNISQ7xMLs9eiU+VB3haWT9M+
o58O2aCT5Csfji+EnnCEvtkkVb2NfLBQLnseOL8BAv2l6BrvqwPjVbeIe78/cXKDcw/jAfaMvguL
OzppqrlWO9vG49UawyfOQcNFoxu6Jw52cgADOSdzs8R8QOdR15eyHeQGLJW4IMnNKMgXwfvfHw2l
Oob7gyRNtKs0oaLnu6/T5+R06radhYRx1MOGvndsBFDLoXqNq8CJwo9eZGo3tMRSmWgdubNda6Tv
sQ5UNSW8hiGs7ZKobOoA0iOYNGHmte+joSKXsukltVgAkZX9rREljVsS4Swtstpv5TVyoZGbtku7
w8SnfbXA5QuMH06Yd6MyuSH/W+3ZsoOeekfkp0rnrdm2t2WRxXR9dU9Rjx2/rNmZzDhrF3zHmtOw
96CGYQWlZ64ZgXeEkjLL9voWVuFiIHPqsIe9ny9UIBU0xsbYQghDxDTRFTF9ewDpWF/dzlADYGCE
WG6IbzERMHNAOsQXMd0hhhurVe6lpbnw9GIyP45h74wLrSubYy3o2vdVpNb0c6HkEgnU9rFxntNM
3suQlU4rXLees4i7tHgI48LCEVFzql54TBfiPdksIxw1smowR4afhJ64c71KLj4HjddRnOratdFO
IZbCAiUebj6tlwB0OcNVpjh2yyIFQPLfaH1iIfn5KeqCcr/5wUHqeXHjlx/XJ4x66Ga4gAaaTmoR
gwHv41FKf0fJZrDSMPiFUs5s+Mv6BCEd0A2AGgQ3YnUSfcCvFj5+RxyzLItoa8ytf7I+YQv89igl
vPkOpn7+QjSoxjf9N0syCod4sRWWnZ5GRR9nGzrJhwCghqucEcwBfLP8JusD6Q4WV3bIux1vezRt
xy3aILcKyCOz+iSuwV7EymVVK/a+F1KkmEFqfBadfuTfRqmc0D3BUmU13j7JVMaBn3cjlm3TQDbf
jdcSQW6rJNLUTyXsCVAu3XHeqYkr2UQbLdOWO3IENXQQIbK+b025ptE2xf55CPLF3vdzL/CXRll7
p5Wa+yRBymG+6mnX6AtrGPrIteTBPugpI/plbRQS45Nc9Xy3YVaZw1/xY2qB0kTA0+aVzlTIVtrF
NA2Kfej0E3gQzcyA/JSpjJs2cuT4qlWsvNsLm8kUDaBUPvXU3hvcnKI1c+VKCZk5e2bzARZzW+2P
PsehJWZpm2ZhFXeXdgwZYVEpiXVRRfCJ0SR5ERsCM+W1XSfWveRNjcMIo1bataRO6tlY+giAYp9p
1Aot8RCsM2kYCcEitPKy0bycIMzcMA8qrwWu0atpBo0v8oDR+DrDJ7qCoffAtKS51O1uLSF5X9h9
Ep0nUggDewysNF121iRfdqOXnVjSpDduDrX0Mhj8jGwXS0lXOUD309JLm324jCRkZamjjauKkROY
FH06HPraOeoklIiTXoL8Iyj0JCdvplkFqkN5F0tB+2A6Ya0deXKVfe7aoT4P8H867iCFXrzXOUmn
I5uhWVlm68owOvkBgaJZLSSbkMM93fLgCpBsyOFiVSllNBxPE1ibwzqtlWjNXhXAG1OLKHVTIy4m
CHu1CVKfxJHqqNSiauI94GglNRmw9cKPyTVcZgpnR/rHyUT7NkAolR9gvGgH2sAT0nkiNvJxGQyD
V2/zqjXqbddr8GtIBFOn97bcE87SdeWlgTxNQQyZylc1hpL8htST2OSESWd7aZemca6rNRS/oMR+
qlbNeNSVMlIrCIab3qlFd06KcXGoia8ZiwHod0z6zSCrh1FaD5shbbIjpTKtLUJmay9iJrrXgzz7
WFutVS8EXPmjNHrxx9h3mMT1TcyUFOQKCB9JbdFyRuYhSdbBiSEVyDMgBNchaCp14EBpeGFO2F9h
0joIqprvVBBvcTVqy8YLIKyTNcpMkCGOuWLCT3hM449BTeBaYyydYNQ3Qw2KZzEEtX4BXkDZp4rR
7jkrTCdQ0yeV1A4iUgu+y/eV14C3AvRS2Vy2wAuZBqoIYBtPy/0V40MBzdFbygRWTfakUmYmbqXm
FvCvsd8RbSIIuqa+F+te+BEcfDzuO1rLXtcZcn0+6jk1gga+yVnY5JOc9FaSP/zbFN0C/vrzTe0k
u//5liZ+9XlLY/rD0VlU1ja8FY2a93lLY6+yUGqbCg5zdq+vxgXEooaMjNRmp6OoA732ZUsz2OwY
UdG4pYjnH6An/4OSm6r+ZW9QxY5u2ioVP+xcdkn5mw1NqnVOgYA/26ZJ9istGjaa6BUHuAZJwOKP
MBZe32FXfXGlTh91VP+BOuQ0D7Om/q//ROP17QvbMg54RjrCfUFvks7oy6ZkZthKhZHJVSwk0sA1
SlwIgW6Gx0mEr/woCKdJosnnV2ejWeIjy/yyUlYNzbKzyUfQsYDwf1FJsn41qnIe4KjKxg9YjULb
jXs5ukH108CSyZWAHMO8y+5jqeynZRh1qbfwaiWnPrcRdLQmY4llNfasmgzFQNg1YVdANPtgxJ2s
wgsn5hOmplNJhw1o0nrhBwmDXdPIsysJ5MZnuwc+uSRU66MO1mRPQzaWL/xRJ6ZU6WTgOalPM3EZ
cCKGfIbos6EEmMzStXu5JmxMF+JNG64YYcolpbOZF0Qg91yADxTiw7mKOGVYBlNLpxUuqjS5GcD2
0c1sgggAqlTIwzJfVKSjcs1vdChFxBRmGu3DHJTZpgjATxapFR+UXajnbtwp4dXYKuOp3hbWR/p/
wy0sT6z3mopDZG12fhXuGa2q7FlQzeCwlqRmSsFQxgsvSzvYFzV0GMcu9FNiRyxivgwiYxdqVBOW
KLdeclFbWtsskcFZRcv1rstBgsUKY5MOcEs4zEZCOKVtYGYN+TFyX9FhGBVJXgt2/BCmcbZiswwn
1FJA4notIv6IODi/QMxkR5chg7tmxWAHqipweeZuzGc02m9Tdeil4yhUpWYI5NYL4sgNZQN6vhaQ
OrNSRXm/pzWOfhvmqbKVLKXzXDObZF3A8SxlIV/auVU62MsQZ8R+zQSznKeZdomUyw2broE6o3m2
tyZ+K+qXbPX6tY11F7P0PB/15llpJbf9eDiWEjNUddS2NHGY4swT1iRrHQ35r5i84h4rHlqmsdJU
Mpd1lJgZbTPPa0tABkdBrTDFjeeJbs9s1xRD3t4e7feSDHE2A64/AkPOwvNEh5JfD3WCy23gdke1
F3b2xUDyU8TfAQYN7t7QJtt/m/Vd/2VTZfGQtQ/fKwaezizidx8XeIcFWRi/aFzgFBCYzOcFnm6L
GBoK2gcdFN0UiZRP4x9yLFnhBGBWgDUfndtfrDg6Jx0wISirmVqLM9AfLPBkRH230uoyyCCmTEi4
0SCILeDF+KeL2rgiPBqxTpuv6i6KjrowLBo37arwAFwn8ThIvz9pjQRbUGtaO19JviZpawexSy1Q
h8FdTfZR6SqNkxaHAebi88bP6quB/QTgdVb49aVVG86NnKFYdC1HihRmQEPkbekG2MSXaUxt131K
Hht0BR9cQZSFcrdfRFnqAzSg9e8v086YaI1WcdJeAnXKtc/a0Lecc/K2XgFsajcNuiHjAE1eDNTP
8aDnCSdCN5sShD0hmJ0Ko455mmXb69UtVj3cDPqjtSGZfQ5+heUBtVIy7NUSaoqVxtxCWfm5jvZU
682xO0oYcJUursIpojD2BmSDgL9kt4u5uz7Zsz68n7XigCPRjWeyH+R7JflHwTZNkmRDIKeU7Xn9
bO6ejd7mbPpWpLTWtmwQ5N46OANWnAR9zY1iMpBIMmAlWcbCOR4aAORpt6jJxz6T+2RZgnB3x7Ck
kLaR3J37Hu9shcJQHpfWbEqP8sla4TcuII4L1/qAvX2bmhpgKa9gHW+MB6LlSJTyolSxFpFtxAwt
JIMSOiJpA9uuFIQXTehIn7UOwzsTFbljR/BAyyD2K/j0deT9oQR6dOU02qSddHVtbFQYIaRvxuVW
obV0qmJ9WptwuCpiRjRldDUFr3ec+85hOujSuKy9IAK2mfmcYpvUH5YtC9Z5naTDh7aW5POKwdRt
o3rhPYUFqacAR/QPJOxZsI/5yqxDMrcoUz2os7gW3aQaq7USKeatgyrv0MtQVjLdVNiRA8ZbEUCs
ONhjVzkDx5RvfKQOLrl7740KdpijNL47KGmyqozIP2cs431WnFLj4KBc9WVzF8tlsjGUKvhACBIT
0MYsVr1ILY8MI9/KdaWvcW0q2ygPbmKYqChVR2kzVeqxzAjzlLHmuGStvnMiM7kQL0sW4V3hK0dk
kfnLCC/puira8FBKg3uvMu7KNHnPeSPeVmY6LW0yoatCCTgaJhD9jT7iUB01k3+QTOpY7hXDNHya
mErtabWXpit5KlUk1ba3jQg2vKIwgNSVRmyintWcoEaLDmPfTDZZbR9ZSWZUi064ZNRC2Tij3a2y
upX2dHUkPdpKyuoqYobmL8ygFkHMRuuGpi8vI1sfYMlJXMYkeJ8WkbTUSoU72pni+KyviTsZSCBY
1ZOPfwV7CT19Io+kVPMPk1Tn16DUnLRBdUXHNlxUTFzdMu5CjHymLX1E1UCEkWocaXT61rXdDy5x
6fkH3yqStVTGa1z3XuG+nS1MxCr9LByJlKWvP51L5cv8uwSl3/pHv36iP0pbEj2tV4ee+Q+b855+
9TykMIVNe0+ck07WMq5rDZna44MDT5Jn/tOPoZnoCp01drjHB5sir/fiOv3sSvz6TX4fRvX987x6
A3c5TB0RYuWDcmcz/5raaNFb/J1L8M0zfL0EDjRPOpXMSp4uAU/46hKId467+vnHVAz/J5fgr5K3
DD6637kQ3zzPywuB4GLumT592BzzXlwIRSVcizpH+HUeH2/0QogUmp0uhPnOMBifAXN/+kbwhC8u
hPUOeABoVuX5Ovxf3RTffJIvbgqsByByYeDtdiEMuAs6GlsuxuPj2wthiC4/7f2nH/OFeVu3Bn0X
WRGDyR2/D8w3NVhOQjgmHjzhi++DiaQYG5vOuO7x8eZWCFZvSMa77hUsAKyCxiyZfvH2ReYtGjjE
dGjn5sdb+xY8nwJ/c6f45rb6ukCa72j7mRjJn9eF1wuk/Y5rIKBfzz9+/N7972+W37yB79YFnd7l
TjcEmGvWF5qBurjBeLyuGvgxGgOGb+rjAvQGr8Djkv1NQfdHdRPKDIEZhSEzPziov7gniD8DRspe
+rxwvrkl4fme2HVtNAhzo19C+NvTheDKvroQisXKSLPl8Ysiv9ULwbB5x3tCJbzOwo2i8hZfXQEG
CtQLYqowPx77WG/wnnj8aP7+PQGxhigbwIfP+8Dre8J4x8hNkGyw3cyPx3r1DV6IXb8KDIRErTB/
G+Z3+vobYeAzIqZWfVo759XzbZVNz4vDzhXDnMcr01T9ZoNQSFFCnWaKvIU3+da1XbdI1kWawUhn
efPz43XNiG0AM4H5dGZ7e/eAkA3uViJwWoQwilzj9ZnBeWcgZ5yxO4/X5a0entRdvwEMFOAGiUnC
0zeAJ3yxL+jv4GlgKoGc8fh4c9UiUw3kU7teBopBJueGBuzv1funtYQKVVXFyOXx8VaXgscN++/v
i4BQ0BLYIH9ffwNsJk4mp0a0s4+PN3d8ftoHvqPg/WmXkYYKIkBZQzrx9Hj1VRAQGYuqAAzd4+Ot
rgkiBGjXVRHto4yS5GsN9GJNIHRIBWDztZh+q7WiwPzsdiEUmmgYhS2B+hSP1wUCAlLZovf0XEkK
gfvbrBN2LZqpFVHWcExE5z8/XteK1NQ2/zGtN7c7PK8Nj0f8v786wnaFCkd8wot94MUtYb9ThUhY
0D8eH292bXgsZf/+hXDeOeABqQderY3GO4pERUaT8LQ2vtU74TvTy59uErqYNZn0TZ4+aNEqePFF
QG1O6hoX4vnnb6639AVPsdPKSDcZNb2QlHzdDF9cBk3cLlQSSIIfH2/xMjwarne6DNz3CuOoGeT5
6u3D2cHe9GYPjt9xTf70NnDeEb2jEQf83CZ5XTYzrYSHSQ7AWy0WhQ1jp0+eeQKzNXwlX1qKr9YB
YjQUGssMbJ/uj7e6M0Ip3+1CME/ARqPxXXh6p6+/CRysLJSRGvaEx5XgD3opv9Fw+CJlcIMwuV+J
gXv4UM8t8sfp/V/+g2cJwPdP8M38/tU/vByLh8enfpxbiP/9368mGrP84MUPn+UI8+s8/frTG/z+
pV+91vO7ev5/bkJg99VdACWFtzs+/ZnHNylKiZNfwyXmXxAv/l//+eqPffEd+OWz/wXwaMenP/ir
bPNdn//mvv1R7NuXFsLXj+vvXR+3yuv6P2br7PcqTzHenOumXV9lkVc/io39Mj7d9fn/ld2ktz8K
mRc1zTyn3vUVPt2kn38YY/9Urosxx66vcZ3fPjw/y/Ze+AVmtYGYe+z61Jf87bc333/Czy/Bkrrr
S/yOvXHHu+F3HN47vsQpU+mHm/bnV4pj0q5X6qT+EYTt+aOgl7XzC/ylKWfHq/QbfONdX+G3EPU7
vshv5Ezs+AoHfxlutusLPNze/iI+7R+4rw9ufiN6dNd38Zep4ju+wH7o/zLv4B+4q7fpL4xw/8BN
TYbY7S+cGIwUd102/jiTaMcPZZW1/s9XWqE23PUdgWpqfn53iFyKnV/hF/ZHEZC08/Pf5tn4i7fw
D9zgy4ek+XlpoHMM3PVN/IaJaMev0uJmfEjqX7yLf+AGX9y0d8EvPop/4B7/V0woy5bAxZ/WH0KY
vuvH8a/7m/RXq6EYnu/8Grfhzz8NoZ/99Qv86Jj5RR7//eHzWfb+o197fbIW/+Iuebip/vt/AAAA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2">
                <a:lumMod val="10000"/>
              </a:scheme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Total Mortality by State over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Helvetica" panose="020B0604020202020204" pitchFamily="34" charset="0"/>
              <a:cs typeface="Helvetica" panose="020B0604020202020204" pitchFamily="34" charset="0"/>
            </a:rPr>
            <a:t>Total Mortality by State over Time</a:t>
          </a:r>
        </a:p>
      </cx:txPr>
    </cx:title>
    <cx:plotArea>
      <cx:plotAreaRegion>
        <cx:series layoutId="regionMap" uniqueId="{54E67829-B7C2-424C-B1D6-3D2075422409}">
          <cx:tx>
            <cx:txData>
              <cx:f>_xlchart.v5.10</cx:f>
              <cx:v>Deaths</cx:v>
            </cx:txData>
          </cx:tx>
          <cx:dataId val="0"/>
          <cx:layoutPr>
            <cx:geography cultureLanguage="en-US" cultureRegion="US" attribution="Powered by Bing">
              <cx:geoCache provider="{E9337A44-BEBE-4D9F-B70C-5C5E7DAFC167}">
                <cx:binary>1Hxpc+Q2su1fcfjzo4wd4MR4IgZklUp7763uLwy1pCbBDVwAbr/+Zmlpq8o9vs+6uhFX5Qi5JRSq
QBxm5smTCf7zevrHdXl71f0yVWXd/+N6+v3XzLnmH7/91l9nt9VVf1CZ68729rs7uLbVb/b7d3N9
+9tNdzWaOv2NIMx+u86uOnc7/fqvf8Knpbf21F5fOWPrt/62m9/d9r50/V+M/XTol6ubytSx6V1n
rh3+/dd/fzNXv/5yWzvj5g9zc/v7rzvv+PWX3/Y/50/f+UsJy3L+BubyA8YZCjkV6P5Ffv2ltHX6
MCwPOOYUiZA/DNPHrz6/qmD6djG/vHdX7vbx7z9b0t2Crm5uutu+h+u5+//u3J1L2B26tr522+1L
YSd///XcpLfddgdMb6P7ochur+T88O7Sf9vd+n/9c+8PsBl7f3mCzv7O/XdDfwLn9Cq1/V9txd9D
RxxwIkJEMQsfXjvo0AMuJUOIPQ6rx6++R+duNc+FZ2fyHj47Y68KoH/fXFVX4wsaUAgWQkIp+SNC
YCFPDAiTA6oUVoo+vmEXoof1PBekvel7MO2NviqgtO1q+7hXP3Mqf8+SAAesJKch3oWHHlCkEKKM
/DCwe9d6b0F3q3guODuT96DZGXtVwPy7GK9+Ofpmq5cDhx2EDClBBX6IMrsgyQPFMCGCyweM9tzc
jxU9F6g/fcAeWH8af12A1VfVt+4FXZ44IFhRTIV6wEPs2JQ4ADqBATL6gCZ7vFMeOMP9ep4N1u70
fah2R18VUPrKX2fmcbNewOehA0GIIoqBh9u+ds0KowNEFEQuApxvx+ndreO5+NxfxePsPXh2B18Z
OvNt2b+gGbEDKYA5KP7I3uSeGQE6CpjFIzPfMyN9dbeex43+zwnBz9n33vQ/4bTz4a8KqPi2dC8I
EwcOLiEFQk+izxOCJw6wBF8n4C33rz2Y7lbzXJB2Ju9BtDP2qgBafbP1/IJ+DiAIQxFiKR8g2KXg
6gDonQoRfhyGcPXU3d0v57kQ7c7ew2h38HWBdPOC7FscgPkAf/vBsnddHT8IJSESM8hl714QqHYQ
urHPhuePqfvY/DHyuoApjHtB45EHckvkwLs97D34ryfujR+A81OUPDCIOw6xA812Nc8G5+nkfXie
jr0qgI5N+qIKw1ZCIJxQQXe1ua3ygCgJySN/2EuL7tfxXGx2Z++Bszv4qtBZ1T71j+7lf86xQaHb
aqchfQwuuxjJA4YZkAf8qP7sYXS3mudCtDN5D6GdsVcF0Dr68N/B878o4J5cud7UL0gfwXq5AI2J
PN4gENue+FcJKRqST9glRMan/vVhPc+9Rfam790ke6Ov6jY5tNW3vyw6/E19EIFOCxQ+3BcI8QFB
gguh9jjJ3fc/F5adyXug7Iy9KkiOqhekjJB2KR4yDr71/rUrMskDJEQo+B4qsITnYvJk6h4iT0Ze
FR4nVzf+RV3Z1kYIpwTvBznFKSWEP0IV7vuw7Tqei8v9VTzO3oNmd/CVofOi9Q18oEKmaEhg85/E
F3UA9ASkWPyo1e4VcE+u6mdbzNO5f8Llj499Vai8M8Nt94IVXLatXQhQ8h6yK7SbXokDJRDUPuTj
+J4Ue7+cx5v/nhj8jLT+XOPbnb0H0e7gqwLp5PbbtxdMgTEGli4kl/ynOjk7wEhCl8RjhTDcp2jb
1TwXortLeZy8h9DO2OsCyKYviA9IFCELQQYnP5UoQFxS8J+Qe7reCSzicWf/ruU8nbuPypOPfVWg
nF/1V9Ct9IK5jTpgFFyXeBr4d2IPAb6gOGQ396+95PdxQc8FaX/+HlD7w68LrG2b0yON+pnH/3vp
TXgQUiKgxr5DDvgBEGgM0Yc+cOw9z3bXa/VsdLZX8Dh5H5qnY68Kl4vU1y8HC5TKpVLQ1/DIzsBC
nhgQ3doXMDr66Pj22MF2MY87/Hc93NO5e+g8HXpd4PQvCQ70PjLFEPvR5rDLrNkBA/BA2RF/JKhP
lZsLWMyzwXkydx+cJ0OvC5z5BdUBBS0o0HfH0b7BcMGICvfFmov52UnOk6n7SPzxoa8KiDfQ/Xt7
9YIaeHiAuKJsayz3r115IAR+RgSB/q5Hx3nfB/SwjufayN70PXD2Rl8VQO9tYd0LGgumIJZhjLdF
vvvXTpThBxRDDxD60aG6x6Pvl/NcmHZn76G0O/iqQPoAXPrbi3JpOEGAKZjRA0a7RgTNWpJKQal8
6JHcEz7vl/NckHZn74G0O/iqQPp6VX0HnB79zv+cR0M1B92Vysm+jsNwCJU+aES5f+0x6YeFPBef
vel7AO2N/p9G6D8t7il93XnP3zzPAsEGYhDl4rHcxnd8nTzYwiOhFfwhVAGMT0nbj9Ml/3k9P5fa
fkzcWfz/+nGV/1wJ/XHoJ75yV6u700JPTrP89ejjMZi9qQ879VMrut+vo5vff8UCQ9cpo7DxP04i
bT9oZ593pK2fzr296t3vv0Jrl7iLS0KGXHAGFGK83Q5AagTeEPIiAhScI07B4GrbuQwWQA8Ig9aI
kHOFEWcCeHtv/d0QAi1v2wiGKXRdKsTkj7Nab2w5p7b+sTEPv/9S++qNNbXr4TsZsM3m/n3bK4WW
P2jKYLAsLgnihCnw2c311Ts4EAZvx/+vbSTnKVVx0hbMHbpM4CYybVBfD/3IP/BAlElU4SE99mEr
VqhTpovoMA2lFqaYLppgosdwZmz4VI1ogj/6rE3f4Ing9EwkYZAcpjKYWJQtS/1dDr42kSK5SuKJ
WGZiF+Du7TIoejsMLD2eUGBclFVOnLWVMZtW5PQ8S2URoWL0b7qM049psbhzhKfw1NXTp8KQ5dDN
HYpYEYZu1TC+XLdhU127zNnrJBvk2vduOkypQ6kmLVwJ7vJERtSIAGm5UPe5yMq80FPNs1EL29Sn
7VDBWLC004UakLKRn1l4VC2CxCZMhlXaoNlo4+e5iKfccXGc5Ko8wijr00NWyanSE/LLeRJWYaqz
lqRC0zYoqLZo7t77onXqPMin7GrOg+qCtpZ87OqFfAoH0x7lZrHp4TL14rTmqTgNEUvWpErlqJcy
96ukReSMzWV5xUrm1jiBvyG59I0e2sTiD6SulkpnDJVZxAuHu0OBXXFm5okc4l7k86nx7XxKwpx8
KHpsNkNgxmkF6+m/JrJXdaSYbIRmRZF9JJ3KlqgB3MsVyvjCYlzX9HBGuBYRY2VdRsukxFvbNW2v
XUfmct319UJXczVad+qrZjk1jWTvpKyyyxkhOBTX181S6KRr56swCPM4L1yPIjtj61dTqKYpEi1L
Vay6Kd0Eed2s2sb4z2acJ3uIppQX77MqtEM0pQuroikcXeRxuuQx8WPVxkPGChYnVJjzUDX2y9jP
stchzkoRm3YWedTLZj4itMYf50n2TDObVB8kadWJl3ROdSjrbl3bchq041Nz4m0yrJn1o1nJruo/
5p3KB21wsUQzyB/f6dL7M5L3+UW3TFOvB0wmEhX5xPsVrmbxZjaAjQ6noFnb1NMNa+YyKmuK1g2z
5Gs60GzVpsn8ZbKCr9Ogmo9kl/ATJl1yHNDRR5y3+MLkHRr0nBP2PTRZu+l7rI6BGKMPNLd5H/cZ
D7VPJxUN4F7OQ4Lmb7Lj1WnezMl126r6qqFLcmLrZPosmuGUjkW9mZJp4KtJlva2KPvggilXh3ph
1gZ65Kh/14R1NUS57Yr5uOj6/JJZwQ69xCLV5eD58WIHcTRDGa89ChxPSLzQrooH2TTxFNAmXQlR
m1IvcxmYdVp2vdJ94spctz32N2lip2vBSkRWvpTLBSstveGdwMe4Yex9aLg0OslmtsHjzOPGDaaP
517ls5b9IlZ9X+Z91CfZ1EWdKGks26yA/fO9znEjsDY8MVYnkkwmRkvmTBTacPAaTSy7mIpcnNoy
ID5KijIT62l0xacyDZuLdEmKywrL8hLxTPV6Kl17STnODud5locNN+qozGl9RpNl2nTBhMjpLGhQ
aFqmlGsUFGzUI0t4rRmVxWZskdCkp/NZtcih0pT0+FbZSrxLhgy3seh9LiInR2qv5Ligz8KmLT7q
srz9EKKR6HbmZPk4jpSBqRQpyjT2jFW6koVPvza0WpazKeeVi9QYpHbjU+ljz9pqiQlrFnOdd7g3
cTWllN34yfnyOC2GuXgjA69U1HkBzrLuW4eOk2Ye2gjN0yI3ZRu0Yt2ipYC7Nl8sjUg1oeGEZ9Sk
UY8WYg7TVualDo3h00c15LXSNeejaXU2ZNXXiSSOv61ZXh4vSdYeT0kA/kiKJWc6Rxmr1z2uPyfI
WLSyrEBBZItp7lakgca1VdF1uQOzDDC/RiTJvxVumqPRNvS8HXK/aI89quAeMfjYjSmutOSV4Lqt
cYfOysRXdeTTEG6Isk9VGBm64Dd5wEStC1I58HBGhTxKSgcuvuUiyhKflLpbOM4vcF+FDBBVQRGp
YepvxBASd9KXU//Wlg1Tm84maRHV7UJyXZUNPh4sp0vsS2h91Gjs6GXT8DrXKQS0Mc4bPlZ6oKnV
Tw8E78T3a9vMnUmzh+PYP37910VzW7933e2tO7tq7g4K/zG2++sf54i35ObHoeI9ynR/6Ps/8Km/
HNwhWzuk8pGx3pEt+Zc06wcrfUKxtjPuyRVmB0JKaE2k0L+ogMIAh7pnVwQGgFdBM5Tc5qOgtD1l
V6BYCzhIGSI49AD1nR/sikGvMPAxELNluGXYMOvxynd2H07GP/z+lF0BafwTuwIeCfwNvg8qsFLB
8p6yK1n2hOU+AR+Zm2aCqDmBhVBiUXi0lGhW541Ma6OnwRTZmXfSuZg68I5HObjwIuoaAVF2IqL7
IIE69XFTjOl4EVqepTrgpiVGp75F6rhxuM5DzQghpYUZBaIx7psl020FpGpdENnlGzmznEcNyq04
Y3U/oggIZWB1Z5DnunLBjLUVwEOjYcplrqcA21oLitmk+9IWTvu+oGeMZ8HXJTBb+/IjKjXncj5j
fZh+LXJD84hWZB6iWlQNfF7FklGzsQD3X6hUNhsWuKwCdjFWS5QnJDcRHfOwi2cxOXAWuRyddhDc
6JoOwoqVQKaxUdAWYt6wmpWXoSzIOcuYxSuXlimEXBdeZVjxS5s6ddMkJOyifube6Kzrh0LP3mNx
mRD4ys8pbh3XORun6mwmZVgdj0NRDrq2JJGx54ipI6A1s31Pl1y4eGmWkawKuYR9JBuplhUasiTT
Offqk7U9xe+5zfxyxvPOn4YiURNgGJRNrU3vl+OyTdr+ou8TVB6R3CunG0GKEyLo5LTtx+myThPl
122oshGIw1Qnn2yWD2w9hkFWbSCqdRQcR5vTVWv69ls31xbrpVXyOhN1kkWIzOzTWHH3BRkX8BUu
C3foVdu0UdbU6rpPrO3ifDRjf9gtBR8jhCvLdK14hbRSaXeScx6MGgs/83WXCzlHBTN9qdEsBqkh
waAymjAs65D3AjhR1/p+42wQ3GRb8qin0ZgTnPTZu8CZ/jsck/joTNoUOusxIlHpVNPoMlfmvR9t
bWCDinZdlniiUbB0XaDFQuhnYqcC64KhCuL6zPk7z4acaPDvKI1MVi7AcEsRBjohY0+0m6rpcqqh
dTWaWl9fExdAcqKoA++/CL68bUvBYW0Ym2pNqFW1LuthKSIaou42I1VynYxVfSEpw98MWvJy3ad2
GrWXbT3EYkh4AT/N+FWB5bcaeUS6wwQlvtFmDqnVfqqXKxbw5mKg3Ke6bbtp0cVglYsRsLdQq6y1
i86Iye0xcR3ttUHEmijlPR01SsYZaWIWvFyWRZpcVyNmQCsqS+oTrnzawK1bNf37OiUsi2UCwVUP
jhRvcM7Ju2RuilMcLC6Js65AN207kGWdGgH5Rz/k6jKH9OGtEy68tFKWtR4aLM2RLamzR9lYVhdt
aVEBEYskDExO5k0UOpXekn6GZIl3rUIwOC4k6ls1V5pTO6ZRMk3lxzFLsxBcWbb4j7kt0y8+3+IT
lrlhenZYoVjMI7i+yZQE61JMttQZVS04KZy2Z6HKq4+IwLetEpnPn5Z5pNnFUPWdgPtQ+OJdN7Eu
iSkKRBEnakk3jGTteCjglLVbpZ2YyhXPx26OfGtZGtOgrMCgWtEhXRtWGh0mVdrrwsuQ6CD0tIlZ
jasqboY8Q2vIgDOvU1tsry40gY0DZocWrncwZ31AKNMWi7DQeFFNAqkITcR6lsHwJUDSfqlYS7we
x6AZdAAJ3hi7CUiFLr2ac/iZukkL2YuLsq/Hb71y3UkD2Uqp05DXThdzMzVxLxh9BzfshFdzUpWh
ThnLxpWZW1HGhgN7jxswuFpTurgxSpindTQLlY8rCdQ6u0gylB11hS8WvRCZvjNtNTg9JYtf16QF
n9wygEAB6waGmLZ9dZYsorYnrirzCrhknvoVgxjkdbHwvFqrpHLhSiRV/dWoFm4Kb9Kpjlwbynd9
EiSL5o3IRFw6iHdwW0/mizHI+AhSPqTiEEztA2PC9XpJqD1OKoL7VZEqnkcpaxKnwZsipCFm+E7P
LeFKu6ACYjfhMmjjMrWm1zYn1SfTZ0kdS4c41i38mCM0oeYTMTYMgKUWcPMNBtUZ5FAV/5K5rEij
0iYm7kS+QCqFm6zRcN6O3UyhQa2GWJ9/UTwRqD5iY8/H8VMiKjBoLbIO34yuqs/9sphCE7zII94X
1XCYGFJ8zydSnvNJ8I8kMMuX0pPuOgvAF0azteIG9z5I9GwR+jTZPJw17Tv7naU8OwTibE9KvCxf
DSb+LExwa3WWWBrqps07G7dtaQqQWyx+N7sFfxY8TzOg8rYI9QizL5OWjlazkCzvChMs34vADcdY
ghuIOgN6zQhc3EcgcoQXjFRmBiaNMNdDR9pMozazkL5mAz7iXsI948dCgGsEo4Fsyo8DBUMZxIci
DVARFV0iB10mzLVrlqeNj9nUbWkqL9BZVrbZdT8FhdJT21AW8bKc1dsUWHQZ9QZE//MeHkWURkGq
xhm0lLyuQgwxfjD0qgiRy2Di4rA/GUlaTW+WpYKsWhMxenWahngoTkUaDJBSgwNN6g+iNK6IR5Uz
uAcKOSUbXwQdGnWYVggfzQEv0dtubhWOJOvKKoaze2EdF4I2Z8q2qjypQcrqQN7J8bVU6Tje4HlO
W0jzkjKIwQNX4JnK0Jt4HouEbmfOS1TOGf2WlkE+RhTNVZ+AK2KJi1tvkiReJoeSo97PPvssFhew
VR/0df7BzUNt4zLJUb5JzJgKA9oYIjiq+AwbEzoyA+xLPyRfIVXr6QqNdcg21lslrR7CcmAKHFcZ
tvW643xAt20BbkwHcKgNHYJaEYxLPIScuVFzVTF1GhqXzN9dOKHivAcH0a0drVR3ZorUdmcJKvLw
KAsLvPBVBdxiGuMF1ahcZ2Pj5Ula5DSN2JLa9JQMrEy/2S7owjhzEwKY7pJHwxJYKMl8MoI64Bmd
9E9SRh6iJeqATgf/XykjXYTBn/6bZDEnbSu/hCPGl/cpYqV88h15RcVhDZn6DF6imImuEoRyTRa4
mWM3VN6tVTtIt6lLECmOYM8LH80IhIJIdHnrLnJwPOVJlhN/GwCNPlNTIr/KekZyjdVcmDXu+p4c
UjWE82qsTU2iReJkiSwXKY+XRRoFmzbY80b1AchbHqMmArEmTU8DuLAykgHFs1ZAtSfdNbL9Bj7B
+DUfegW3OkaGRSkdB3XhpAczx6qkdsWAdrTA1nwKqkVCWg9KiULfW4oKYPChqYF/F0tLV8KTlmhb
Z0USCyxBazXz4MpDIAis0y2fwN6SkIPXayBufmShCeGflLUfLAM2vfazdDzqxpH1UZXgSawaafJ3
TTdn32si8iIqB+ErkKjYfOKapGo1aEvcxbaWLIWHwfTe6r4VY6i7sBLqGGcpbHEnUfY5wI1sIi/S
AkWOdnkV1dwXQFXaAmVvqO9Sf1Rzayagt7O3J2ws21zPWTLbaBlB4NuEkMrLqKjzhenB+6I+a6dO
ZNqWqiUnRWhBLUtpF2SrwcvBgBSFxyAOEKCgZSYKvmJ2UVlUwIeVMfJtlkSOdQUIQM1c+yjdSoDx
mGfjrFEfjtdDsJTAovvM3qaNKcNVm9Rt/q2BdH7u4jYNILmYe9Ms8SJwb5eotXJQPqKpE12h7eD8
1OqFywYPoOi5kJex5Cnhia4nGiSreaYOFMCilvJCgc9Pjpfa5d05yIdT/lnycfJJVHcUBKqoA/LP
PgD1zCkQhK7ZChJ/Xxk4e3z6264McJfg/qER/B/VD3YKhjv6wX2xhkPq/Z+LNX9+yNuTOs926r2c
ALU1JUEtkBia1uAs/vZszr2cIA8w9FFB/zQcNUaEQDPvDzlBHMAAhqfLQQElDKnYftxDsQZa5wlF
UFFV8IGMSEn/jpwAB2N35YTtQ7oIPKZLQnFw+1A7Cst7KidQW+RZWLMI0mh5hCr1wUDBXS/U1Cvc
dlmsPA/fEBuAMD4XbiNEJVcVhnwLeZxr552PAtH2h2FCaMSbpXtrOlnreg7yt8vCvG6kTHUl6k2e
D2btm2Jet6NZV9S5w7bJzjtaXxoD4kMKTWdxEjgg64u85rBrG+cN1D4qE0PKg46mpCBnsyvWS+Kq
dyzIyVuL+pN6btkRcjw/a6CVfZ3mMoOEr9+gIV2PY3kSzDkk/4EEQR6uAi0gaRbyeDbHUubZSWeb
jQU54rQK8pjS4abv5+wzL/N1TyqhoRhUaxXwk4UnKCKmMpCJpMtaoW494OELxIpN3rWHXY8aLdou
jWyz3CR5kMZhxY5nkFN1HdBqVQGX/+xLVH0psll9wSSFso4MoSgDYRwInllT3rq4KUdzljGzwNcU
a0EXCswWdasyHCC/4OztrIhdozq/GcLuc5gW48aH/duwAWFCJWkSA1PceJqqFQuXNEqXaz4Hq6Vh
sCcFu1Gk+DQBybk1wdxEtM7IOnDzW7qY9rBsS64FASKHa3aDyJS/lQ0nK1rLMG5wZnVLew5cj8+a
2K5bJQOr1sE4zzcoTeVXxTq79rgdv/AmbePOoT5G3GFYkrRnLR6nk1rgLy1mICQvtgBmGWKeaVKI
s8CkN7kBjjT0fNHU9+351LWLlml5E87M3Gz/YVJrV62EPLr2XXs0BX1+Gg75BGUzCRsyt7P5uqC8
Pm1aQTRr6/RQZE0YW9nZN00613opjHA6m7MsLrxjnxqXZpceSjLHNWPFamC+jwUbgg2rGD/pUMI+
hW24bDBOxveLKMb32QKOWJdNptK4b0egqmLKvxfh4lZ1rZZNuBhzzoydVmQO+81QTiAOpATlJ9O0
vOlK0m2g+Bi87ZdiOk5Y2kAQGKcCrqBr1mhKQJQCVe/NIGixFYXCtSgnn+kywG8hxvQaNBh0Yz35
lhaB0hg2+dvYWaqlIyAhhAUpVmFQk00Jpf5VZ32zNuMSrPqsCU5a25KNr+cm0DbN7Koqk+QUiyY9
tgNoES2dL0iTgD5gO8gY5jw8qwfGTgLRqS+LMun72cAhuGhIfLfpkqGKMgFKfKO2LLdIIFpO7+sh
69Zc1uRjOwT4JJEhJHY8bD6TGa48baiD6gn9QvnUruq0SDaS5HJl52xYKwz20g28ulSmv1LE1Yey
Ve5NNvL8WEI9dt0NfQMEOGziUfTlUVWmSQrpBmxtka4s1LrXW/3/fQL1Vb3UJY+sabJLRM10zGgC
zC6VotvAkRZ7VokZ0ovGTet6GMOYTqNf0aZRpwgyincdfPKxz8ZijQOUH4G2kKwohNezKkVixQpI
iggK+hNM6/ZDZbaWnPn5C1Ul+dR1zl6OQ83W7VQPRrdOANMmTqzAe83rUWGgYxX84Hi6UWKaDn1J
whizHh8FPSWXiwj607ycu2MI6+q6y8FQFcIe9IZs5Wq5Zn4GHdZfznV1ndfTDElv8QkN4QnN0/MU
fCFPrrP57VQUuoH0DPbffSBsuGKdkhGUxM9FR3TusyoiQydWnNTvPA7EySKqczzVt4uHFE+OkMcs
rlZH1CK2tk3QXdPBnvx9CvFayQEEyr8gB/cP1NztbHrKD2D2Q7mBHkgSYgrt7HDOCrraH+kBnL+C
5y9C/QFRfFdRgCmPvRwIHg0Ybo8nMIXhGbsYagAP9EAeQA8HRHkOJ+hICO0Xf6+Xg+7TAzhBBM+t
o/CsTnhcGhAP6IJ8Sg9QBUX4uaKHIFwX4JuyuVwNfYuOaT6p9wrLcRMsy3IM6SY7kS5LbrtAqvPa
4+ZtC7EeSszO+VVdTcOl5eNwYku+nN/rmKDrg/o1SBZ1lW/eg5sYVk70xWGGcZmt+m6Qccrb6oPv
F7Yp6jb4mnRsKOJ7ibNEPgyPBCi766Ke+WZucXLRpTI5Tt1cXiw4G9HhpAb+FZ4kjN55NAUybrkp
6fdkKStoy5Bld2gTnDdQMQ6m4zv9c3EQsIfK2JVoFwg3AMF01GPZR2lo0qMycBZSdFDelioQKCqD
gXwLUdPdzjhVlxBy1EcQb0Be+y/yzq05Tlz9+p9I/0IgAboF+uRuH2LHiZMbKokTSYiDEAcBn/5d
7cxkDrv2rpr3cu+quZgapz2OuxHPs9ZvLdqg65rdUPq0SLbW3IHalnqHSSPNh0YPl3QbzU3jV7dm
bZT4Hwwy5flPemlLpfzucSezGY6B5RuT66kLFv1jE3p53bauege9iB1XZrsdr6foKzYZ+MJvGuqy
8Ebtw7WE/tYGXO7ZnNI7J6y9SeU65V0X0TtmGnfr1iQ8UiHpUwBiZMl1m4Rl4Vox7AKAJZ8AYoQK
4+CieMZr1twJSFPP47xVj0HAdyWWvz6/9umdjI36goMyMFmKW1WWxMQ0ex/3+L/Hzp+46dl9F6YQ
CAZ8SIqEdQZqysiWQy2Jna6Glj3otJYfem8hQkSRelrrwe8ci1iXYWPqd2JprMqmOCEfTUvIjFFx
/jQlg3jl/RR9CjFIYpFr+bBkPQvIN5vU4YEZ3EE26yicoLb1cGocHTOYPdN7FjhskLExuDtCDnn3
U9Od6s1li8O4XNSJc58EfNqd48K1WWei5FOfeAhDpJ4/paIkTz+l3i6dts+idhTGAxNPtkPvaubT
qz+s5vY9HMIazkjppqd6sa0+/aH7QlPRl5phSBKRhV4FP6PfWxkuH8Rg42PMe3/5qQQ7UBoFoBr/
GZZHn8+xDiFyMX8Tt5G/RFNIdks3XzT+GufeLuPxpz5s6n7YV12Lvw615hAtYf8aV77Ponj5gnkg
yUCH3bXpJO7rhWGuWMsYyM4qF/mFEN2/LpF5jhrltkz4rVqyaJu1zYgX3bRfCAib3trhsOggSk4j
JpTC9W3fHg3MJfbQSdijWUJU8BivG+8uenbk2Iuy3zcrictvaWkJzUusz+egsZDAG1AP2633g64h
CUzuCaJEYu7HWTAC+WyL3oXrIMssaObhltDFvk/GyaV5tZbRng2wnUbmmw9bTx/GYepxbCl+57zF
V2VE46Uoldjq0wryo8mmbTVlPk8ENAqr1sRl4eyj3Cs+7hs2L+QGzIoE3KVEfwftGfplww39xH3v
2jyyyZi+W5zov/IEb7CDJ6QLCTVj2cG4CA40kB66Shf4fTm34wiAoYFlAwU3LfssTMeKFSP+Mt2F
Kqwa07LVoEo8Nqpt6OqzFrKlT5v3qy0a3vy4QkNfNZumHwBDJnejtWnTO8NiUnRjqbddJfumhn4R
zduFB4mTO4vj9QAz18JAmiCl7CbXTuTgwBGcIhy//D1pRzkVYTS2WVWCT8hZWw3Q27Eg4XBNDASU
XsCRycYwvd4FYPPMOzBiSfCwrNdjtQ00fmkZBY/0bSwDeWZKVUVTDfPHRaWa3uEQIncN3IxLD9Ql
LZiETQUxqKLwKpg9J2nPb2cgNzvtmL0sI+mxfpZTtS/FmqicYkgqcxPxkgC8qZbnag34p0g3HoiO
tBiMeDesRQWj5SPmHPrZAzLcwx3sIKaHvsVHyqdlDmCS7Xis4Q4AqUhMFkA2+wLtlBflYpbPFJoK
5sBWP5VVCUgxGO071ia9LFyZdpmPAnfGaB4VUyqXj/87s1DwH2eh36uR//00hNf/nIZSzDzIZPyU
Q9Cne8UyfldLGCYaRDUY5RzF4ckfaglKUQDXAl1GIw3FH8EI9UssYVBcUHJIGXgOjn/9J2LJNS9l
/wK2ojQWpTcQZUBx4Ce4Dkt/AlsJ2abJMhAOiFv53dpvBOSk7VicWVgM6dNcltN2TyMLzmCeaWpx
Ai7DGfPKdJkXUKQ/8YnWRMF9lDox5+NAyDnt1tEClVPBEyw8VZ2mCNfiCVdv9L2eAW1mdHZg8oYr
mwQnt1yOoiuX+2iy9ZCzdXS0IG6bbxoVgZEI+NSJQgZ9+Z1xH71LbdjTbFJx+oDxCXdSNU0we7wE
W5L1CV/OMZ0iWG/GJCOuC2iMWcxkOB9H03X7MmQUVmDt3Idyamt9veDSOIvLdv6aNJVb8kG5pct0
XbV3dUBtlAVyncF9NZB0M/jHZQPrA1wjDIv+qBT1Z94ROhQ8Wq3OqoRZDwmWji4fCfyQbOpw786S
JoCClEggdanXNTw8OclDbVdJchtL+NGQtIa0GHXrbxNugxBoFWQi4FRDyzPAW4wVnVUL5rW0fhhW
oLRwafz8g5XB8OO//+K91jrA9v6Pl277VpL9rxfur9f+LnJGABy4SCEn0mvkA1fOz8sWNQT4EjKh
1+smjHAd/tpi0PIBHRPfiaZogrtWXf66bjl2IopvlgqsN+hvYf/ksqXJ35ApSKxYXBDoTt4KNd+a
nf983Vb10mCK4HlTH/mgYUUIJueC8LH/Hre1PJRrIJ77GgN5OHnysCmrchFV79pWrZm18Xu20Kvw
F1cqZwrOC4h5zHYWkE9Wbe5Ztu2a96p3N3W1dqCrUjGcsfcAE4omQEFwOmZ12KYmuFMkSJ+6GdcV
gTNIM6uS5h546w/Y0eprUgXmUwtzM68bE543uyanqCbbsaS02g2iH3a6xtxWvWk6V3XHwn3eqWQO
jxYI0y4KutlmXuPHW9o0+CoVCC6v+Vc5D9t3hqcL7OFfx+/p0oU7IQOwH/UWLJexioPzKqQ8BXyJ
9kk3DxfoPGMxclHlkwj6vDdm2YHJkU9sXbsdJJxWZc7EILRhoO+61tJjNBDxHDSMvbjKdkXI5wnw
jBuzoBVQZdNOSYn7dzvcSyqmew1C597Ytntqk5p9w/F2P6Yp2E2Y+UdjnQDFBogb2gOc59kMMksc
aKK+4ewyaQamGdgj1GRYPrV34Uk1rnmRcVjuYKSUhRgXvm/E4i4+6Blmcd/lcWlak7Vymk8pn5Nj
yhp+4+Im+lClMTuH0To8O7+xL6qdgEv1JjrEpVffFjilPKNVrG5CkAFFv6n1rLrY+iwx3XYbpaUp
M044VLgUp9sOTmq/CxqftMUAUvjQGQsnMCnZTatqtd56NY9nAyz0xSWy/xovEFQhAUqylTT3Fnoi
nUe1myprTlbr5jRjI3wXzJN8ghZGTJFCi5NZpLbxPu03u1ebSo+T76uC6w7k9Urks9YgAkznJnwC
N/5REK+P4+q7YkZe6EiTbrqnfRIe+nEZz0ldu9dwIeRm43J6xUk7tNjP+mUftxM/OpTfP65UEezM
JnwMuno8usT0N24RcJgIDLscvqrQ2X//0fpb2ueajPn3GtHfusb/BKP+tJ+ur/55vL4VBYcRTi+4
8xwnKfJZP49XpFSv1ytOcuyPAuzQn6ciTCgxxz/gT9EEHeBLv8Yi/Kf/byQV09m/zEXgZUOYyAzO
FOykayDoT3PRLyQ1CHpIqMlWh/CsSQMxfR2GFsqnSHEqzSFF/mab1vF9BNOaZKBV2ZbRhlfrXrYN
+wQb1H8Ek2F/uLKec8QGpkMK7IHnFKzibUNXag4jbIow0zoGTFrPjcVzkTCpYaefp23Hqrk54BA3
/NHGiLxkCAqNwa5KkumZzf14t2kPngbOP+BNv6Q9zCakatxui4LtWyvi7tLXNB5zStLmmPQLDHYd
IReTLyZSTRGtq90ybZn4IumU4nxfNYTwMkEwZbeNndzjf9I/kwkUJvBP9yIIAbthmzZcgKGu2FRB
T2GHKZcN6CC2oOHGY2wbszoV6ovvW9gsYIvm16azpoIdM2Iy00E1v9SDcN/aMRJLsagufDIaOa9s
MkMA6T2KkJ6SUG1mrJQlMMBrdOmHMq65S6o4+h6q5V7VmC13YdyAfxRyDH1WzsOostJE0Qd1zQBk
abiJLedOyh22YqKeEeNy1W6lbu7P4STkcGkVT/ewZtLoBdZZExZ0VnO44xIxliFyAfmyAdP5hndD
p7uVLXo8zox8MtK541pfcGR5CmzlMppFFf87JwUuzv90UlwfgfGvU9jvxwxe/JuYTPHwivBa6Y6L
Ealpgenu50GR/h9M6BDjlkCdOAB2gWHrdzUZXaxhcC1UgdHM8OSFP8xmgTYPSL9ChDEgUZwz/2h/
wjD414MCA10MCh7VRzi0IhZdi3f+fFDUemXY4PwhhXGyZhIE0Us3xexZDgmSZ8igPaI4iUfHyM7q
tAyIidyB/wOyiQFv+qzhlPKbxsBvB0Vc1e0JoJXzWQjsOTxY44LuuEhKmkPqBnxVU1aVu4qycMJ+
0Uz5Bs42vGviQKU5AiPlfIPP/5wchi00zQ4zAXjsagCrU/UASaBQ8m7N1cTwmWY0yPtQACY3WoCN
UVsSHDzmwvDIOixMtOddh6VI+7hY03QuH+Y5EjW4YMCFh17IGFBqNIANpCkS06A+hf88OQEVa6v9
eGatmyHMAAyBKwpkbDfYfkmPi7DVSSXL5nOylB4sbe+35n0wtTGgd+xTcTYnPp4LDcIlyko++QNi
NWXwgTaJQ14OsDru7nw9xB7BlBxo+3iPeIE7GQ+p8Wa0vXPgR429aWg8PFpL7CVxei33myoXtqO8
Xz6uoWV0xyDvPVWNr67Q1AiBuBph5QnWJe2uLWdRgrIJyjOvKH8IAL+RBwOq99MqDTjKBNFORCzZ
1BWtcK7MtFLyC1c9a7MBv/kvwdZD4QlCcK8QHtmUHEsQRbCXSb335bgiuhNQhbROol3WRUP5uoW9
e2n0XG+71VXJZcRiCY5u3ooxRar1gWICAo+KTMIXCGO+mKM2shlyAXK7aS1J7pYkrL8SELXmFK8k
6YtmMxK/o2HubnpGG5tt0Mh0XodBmkO1gPBZJb2estlP18My3jZSRJ2YgmzhtVnPbSlJhRuaJeOe
URczvOUhznkGsjhfug6fxniNxTsIxO0XoYHqPvF+9QP8fGmDDylJug+hAbagymjbMklp9xC123Rj
bJy8Ij8KuXJF5u05lm61u2qhVu8Y0iphbjH4ndqhwsA94XcEuEqW8yM0MYCRCZ/gR1wVTpz+gM1i
7EAvVYy7nGnDMoKxmIy5bax+6d3Qf+lhB3S57a5ZB5j2IIs7rdr9ArNCZCZGxCRfkFv6MDaQFODH
x1iSII2AGzNiaR9mh5vaue1TKA21T8cDWwSA9O5KG89JLe4IrvPnxM3lqYvHtvCdik+Q6LrcpHV8
N7PePZJqFj9aIsquCNiIm6FQkckEris4DB0UYp0aWeV8q8rbquu3fMST5grEDiyOhBXQ4joGr6lm
+l09DD4+TbqWTRZUaqSXaYQuD3WevZYSLkoxbotkQKtq1Wa9V/ZmkOxVLc2d01F0lshJ7sLI1k/h
GiMakyKdcpcIALtFa5q2ywJnu67YugT3zBBvNrx1JB3PU4tES9YgG/wBhzINszUcoJZqvZKs0cH8
yJC3nA4maAi55/B0tlyWsayeIs/VRyNccHUoQrjIIdaPXAgy8xPHe/8RgYxY5uEwirsZeOFwBOvi
4BmsNYIUQFGzKtq+W++4OwQ6CH44WP+Pm4/bCyFiw45SJ0tYKNnal3KrJE6COm7PFk9EmrHDrjHO
U+VDtY+SNdCH2HY9roh6OJJFHS0upDgngljwHdftMTdyEkfQBOR76jaELuQ4umcOqn5XG11+XEdc
+O8JvgFAoE4HYyGqKZ7O5TBODJi0HE2GDcz1mVzFzULAy50Qtw0BJzQSOSWVTAjchmbtPZaxBuQi
A7FU55okSBqJeuj7rC2pDLPB0u1Gbd30rALWkx1bU+8y5RV8///+MQMTMHaD/yjTYgX8o532j2Xk
1yt/mzDe0nEYFtBwiLzCW33RzwkDfjW/zhC4wePJMgwlh39MGPC4r8QaWLMYlTvRn9Jxb4/bwsSC
/STi+Gr8T5QeBAL+PmDQGL19MFFDfC0W7G8DBkVyNBIuPo2IDLV5ffVpphaJnAxhAneHE1gledPr
jdz4AIf0VNMo7xKTOlDurJ1z0MkoJ0CuGGl38WYSsXRLloIkM4F5pOEjLeEKR8lGD9PVY4Li4ZG8
gLMUbXZIc9yz7HvT1cMtfbOo1Eiid1bD/si2Dfz0/VLH8LPerK36zeba3iwvcXW/kjcjrH4zxdap
dvt42shRo1Chu6RX/8wjwZbixoOZ5IH0q2uPyvqgqKOKJyc9IYzlr27cEAMz2XW9slByyzj+CNuH
2FxSaR6D1GAymsSWOUvY/fLm9MWDCOWOM426htD1d7xLaQGBLnMQXXch6w+VSqtzIPpCa4Lo2hCX
mam28NFsM6CSjd0HNXzokFK5v8YOTtqjmSAat2KokimvNKKsjML9GktRTC3MpW5EdopAIlcYGi/I
ydSX3pJnNAwcGg5zseX0dpgmuoc5fMIdA4NcYIowBH7bpas6pnwAgNQg94Bjmp9aJBx2cHABRY+Y
uub2hMz/l3QiN4PyiITbFUCa/1DxQJxDbCZB04MlM+09yKczBXWGhXU+qK4+zSR1xTBsTdEMDAsf
4g3a6OUFE8N6r5WbT02SghAE312iD6Dmn98SM1TX5hWMsP7a05Hsx3nluZ+2+Tw5Jx8rwtW7tOYI
Nm94KgI5SzDl6wVkMMBHBdfcZW2icUQnzZLZljRN/ucMDfx4Q/dlG7tTHbZj8q8ZGsRx2kOg2uYz
CSAGiqvO73yP0IEf+YGPfqgwciHtTio9vgTamOewMvW5InbAKe7teMHfqn6YF0PAMDsOKqJJVrh9
K8iQ/ToJYABpIBHtWsyIC8rEVXPrAD8FWY8VmsIcA7eOUGEXZ/0GSy3r07gt1pK6l7gGG5o6tRzj
uiXfp8lNjzApkI2X2l5gyy4RVs9pPmKCH3Iu+VTUasRvwgdDlE/DgM/g2IXn1tP2EQn/6RLYZikQ
/6kKYBbmWIayfipJVesCfjW5M8oO7yN0LRS810uecpniJtW46Lc8Dw/c07Zs+grlDQ/4EIHvhCEO
/B235xC+TjYMc7ILVoP72BKrPapWhu/RtCKsVC/ipWpq9loxNrlb1FOYRO3pwLB7A/dDUuB9gIl8
QGaKrPE5Fmm/HzWKLNBfwUCrHdBFYW5WgFjI4hrxUrJZ5VFdJzm65KtcNEhoARaOMoXIxhcQ9/uo
e6+bkZ17iiKM2oTuXjbdul/AlmMRf9J+vAEldgjluKv0VDThAMLGHUcGJXhp9B0xSXts3MB3m0xc
viEHe2dZMt2Wut4KUo9PeOe3RwysBjtO7cDGAxmcZpd8b9UgbiyT1ZGX63t2hfmpgm8NaHh6jQFT
PBg19Tez0zuftnetn9j7ufLqRyDn9btf6qSATow0v4ApvK1Kvhs6YP2VTsJL2ZL1CwryoB6uCLQe
ez9WO5hItgCUgaRE30YnHJ9AbVrMTykONYC/rdLwh4bw/Yb0VA7WyB7Skqr96lh8oTrlz3LZ7C1y
vWK3bp5/LEPS7zl778VNM8kHRZFK0bZPdmKqH0gdjvcJ1ih8E6UgTggElXzgC8Oj5l1cz/zOj6A1
MXKCEsZbgwVqLo9xZ+Q97mnX+aee5twkEQjMKZEfnUjdcd7IXCAGwt6xtfX7tyhVt7FtRciUbk/V
TM0OQk99iGYRQD4Pg/JZW0tzt6xi3+NjdmDYUvbTJs0paiS5Cd2y3ETtaHJqZCExK4sxUTvl4waH
HmM5VQacQjrG9zQm3YG0wTsN5TZTgAynCkOWV/o4mOoAtOG+quX7Ri63pJzn8zaFzSXFan3QFKPe
uMCUkMug9jYQFuUVabVL2DjtExKAqUFCcId4GC50siFWl2C5OgJ0rfJUzSvoKoCYk6w+yJKLPKmG
5DlZ7Q3juIhFuxYjKR1cdHn9KPJQYoTeYrv3w9AY3HPJQPN2rpJz41xcwmQFDnunPRbZouOydNng
15kU+IhRsBZLc6pabcRJq5LrD7Rn22EqkdPK517OO451+NAjaJZXfhkuGKXTUzCv22Xmi+/eLwnR
zU4JV8eZtBDDQFSuUBED5C3GJ4kc+GtDy/FdjKjp4zTKEYzDGPRN7iuEsoBSj2j3MZOd/XHbsGMU
cTVFX9IqTW8xpNYZG3nyHWlfqfKtwrVwhzA+7i3CxCrHJoCNRbhoOE1WlEHGe9tSDCcK90fI7yUU
9QF+BYsU5tqmURvPLDUc0ZuqiT7N8Njcvh7WxuzDDp+DI0gM+aVLFvixRAtaGJzWHThtPSL8mqbn
BerPESRhqjOwsMjpUT08ULe9EmOeehXPIMFXpr4GaJgYscQj7HPA5yl9rAOpjlBCOtxQ9WaLdUlc
kpUsaM1exCNE3qYKQGtYWReIyrDCY099Xy5Dw8/dmHRfygbWR7bACQPeZes7VNdECLjUwHZRlAOA
xyszgdUFxlHWXXUMPVuPgRzJR4yM5kiEVx88S4aP4aaxWbZOI221ga3eYH+PPho/BCsWpcoGgGig
g4wH3SCFxNcheq1G7PVrx3Ebxp95DoyZbgBe4cPJ2fZVyOVIkL7e224ct/8lz+I/GsJ/ebzmH0vC
70IkXvu7Y5HEkPgQMUI7BB5TTX8ZwniqdZLgyXrQemJAocCmf60JeGoYuAqohojXR2gkA63xu2PB
/y+g+KNoGYyxY+ABOP8o9UL51ZH4K8kRh6hAY7CdEX2D9/xXITJCFndgPSp7BtrcRVetPIQZ4bMu
9OOcYSoBszW+SesGVQ1IF18Vd7fRcinMVYfHVjm/8Ddxvn4T6hEfnV871H11yOEO+sv8JupbnIrD
TfUm9kdDTbAfXz2A0aA1KCvfrIGNji+bSWEXbDrun1s2yb34aSf0MawFfEhhMyA+XX7RcajoTrfl
eJEhSZK8tDSAM+EEwqC0isylmxnkGuWkbQ/IX5a3BDl4GNdAH1W+DOGW7uhqgBiuPEqnDKQNsn0b
3l3QmzPBAE3S4KarapSSNc1c4cidcNPbBSUEoNzPOFwOJd+MO4yG9O84mm8Rsx6AjO5DWS34NcE0
fAl9h/meIgVK92vYXUPh7TRg1UCnBs1DMtrvck1mlzft6vErL1e6QylcAAietwu8215/AggvAJaA
aBNZ3DbTMUCQdIGohZoJjHwGmbY+Rghzh2hktO1SqYXPW4NM/66eajJlA19feg5g5wQ7HZqmmgxi
TfiRWnWw3UpsQdYRcV+WoOdnNvaHH3oNHcdfwTeY8n10N0psQQhKK5sPVRuckqvL84Kfxj8OJty+
wUmJzgtwuw304NB+kkNIb6FJDlu+je7KBhI1v++RH6myWYr4yV7dFIhENvkUKDGeJKTvs1owLB5g
oSWvVRl87cq66XYuRqVPZFCcV/SIGvf5tkYJRFQy9l9bLWqbVXHFb+uEGVSCoLTm84qerwT1QSXT
yDXE9Ifh0xCB299Ee4yH5JqKFGKikPxs+VSnW9gdek3SMXdK4YtIN2BPjROInsKw7vQzZLh2G25Y
nLcJoo/bUsGz8xTTLqs0MTDQgXnmJhiRaJVv/pG4WknizVVK3xwm+uY2yTfnicKDiq9m1H+/HPP7
eYmz79+7Pru3BwL/e9cHL/552OKBE+hkh/WKR38lCapFftnDCZ5zlCJbkIKOgzqa/GH6xNenh2DZ
xX+8Av4oDf/TWQsj9yr7AOVJUHfE/1GEALbyX89a0Ddwm1GLEAsc6ogR/80djpHdQS7dFVaTH36K
fO5AkX1QIQozBibVB3XNfbVppC44rL+RTj/HLr6VIXaWxd9GLUZ1pLOQma4/rlGPApgWQVkUttXt
00x9eyTduNw3bXJwCiYoUaPYlyqFaouaopxE6ecyDKYCLZQfsYHKopF2KdyW3oL6bHYYq9QFnZJg
dFo011QQGCBIyo8MK3gx25gdt6ieiwbRaWyHSu057dB6giWwB1MLlahe6TcQt89r0Af7dam6nJcK
dRLGbHddI6Y7NLNj6dewbcO2f2gG1CLlFUpL9smK+h2KReo5la2EuEL8gQQUU9GKn2QGY32EVLAU
U8J6xJ5rn2/D+qWkUVXArV0KHLZ6PwOse0IXTpp3xMQHQPDBWfCyOXlmp1OZRNsBwYJh300Dv6Bl
BnnA2VZf45pH0xXoR+JpEfxz33RLMYyEFMZJ/pQYkSAK4NtbLfj8LoiA4nUcUYUt7tpHi54n5K46
euh4UIwsfOm1AJqC6sCtfR0Ty1AtaR6alKD6BCk47Payz4iuHSCiIchonQIwRBZcRV+Ns0u+RWzA
4c/wzeqIHCMHw8jHGnnSClElIFqojGsDUqRNbDLcKS6RDmjeTSK5xUr+NVXdV2Wu90AwQGWA7Qgt
mxwvBuAL5cnldgMSjejFPZIBGrKIWYo18Mhx94PKuEXdJ3pqApRHJjdQy9e8bNcmd6NGUmAm1T62
6ffY0A9V3TxtG/++KshSxKPaAoCRzFKdQlwi6lLCGgFST75BPD1No79zSTzvcH18RlL0xYZenLVH
EWQF9CcrUSW6zaHJh7ifjtxZ+2EZ5X2CJs68jKKvnqlPfIw+ITv62MDazWA2EORa2XSMYoPmo5Cq
HEGEF74ue6QpsVd02AjGZkUJZYjaqmQIUPsJV076q8cTp/uRj1833Jv3eHpums1zHZyBGgRnO836
tUON8z7ytDxus6f7Gc1+RVRZsleR6yALTDoPsKbvt3hK86ZpqnfoFRWPPmmGfV/jq7pdl08438Ms
5JzmAD+wFM+lmm6Qoy3XIp3D9OKQwd2joQbdKzBgfQVXT227iJXbPkQHwwPqkfoTug7TrNY+vNsQ
1BC5jVTyuJUcAw/YGFhzY/SYgr7FToFo73nCxcgL2oSo0lM9l++ZGBmKgUDZgM6z5cdq8qhMhal4
LT1s3pY1wA+okIwOeAiJe4b0Gl+GMkHZX4UK5SpDZmO5dVEkdwMquS4M/uuxXSp9M6E99h3BdIpN
qivJCWexyBpFtwdUI9C7teHxXtjV423QMbJDyBSfsVAGRUfn+Wt/TX+OcOS60FXnJIKEmNNrSlRq
vezSa3K0uWZIsYSOO45YqXsLmJq3sKl8C56u1wwqzgj/hNaj7dhfE6rRNavKr6nV6ZpfBX1nduM1
09pd063VNeeKSthv/zN33RB8+L+/6/6tNvxfdpzrq3/edhMUKoM4FwBccfdN0xh3159WCDL6eLI7
oNcQWNQbfPVrx0ENM3RzhvQenm+HEtVrh+BvVBasENgpjOJ2jFg/T0G4/4OiQPwsf73vRgGybwEe
MgHSKwWcFf7NCxnRVMHRzrJfrSzBR1XxDG0TPWJzpsjc4YAFrImisAkf4QVRH3DhralvmtBDN28N
kvs6HCCglujK0lEZZrzS9JMJEMrBHTJZbmbw2G1eAmNHZ1+w0u8GPbhPAiUde7nh364xuUuMLPeh
iYLk2M+LvEUcD32AaoqjnXIiOadtyh5EyZCmVmEF2BzJGX0US1JBnJlClvuBmiWnYDb27Sr0Dbo+
GdzLPkJLrECB7yd00LG7fglquW+68TVIAYtnI3Y+e1gb2lVZ2zNhchGo5pSYGf1cCMUVlUiCYVcS
pi/oY0IrnQGIvJeGVbdwisoHtGt0AhK81l9sM82fx3a0JueNKb+tyvSvEqrMjxHFKcDHalSBYJHC
ROKTE5Cc6Z1ErUiUwx5CcxuSd2URDCO/oLZ0PDJsks0Z5Hr0gLNR3ZbwMshBkJX3RzIv6KRNg17r
j8P/I+9Mltw22iz6Kv0CcABIAAlsSYBjzZNKtUFIKgnzPOPp+ySlX7YVoY5wdK/aS7tEsiSSmd9w
77m9cD4PlhN9NiZ4OTBcK5PjzsH/RUfXMSfuG0QFnMjai5Euw3Et4MUEwhDRF5Oj8sbNpuToVX35
WJm4F5MqpZwYeM8D7GVpXW/6WrrZPgGW7G1TI+8eCimLb4nEvHCda/HwNTE9JV0zoC0Eg5Z1t+xV
x+2kKWeTYXrXVWatV0Jo2p7tnrkwKJ/Z27Db7k/AcOa7NJmKIJmpbdBQ9/0Tp7iAqbyE5S19g/60
QEMtKGXGNf+cNJn7BceVfoXMFH1aNQ2Ox6CKKgDrjtcax9yIEFJ34SAZ+1Z91e+6OBLfFjTaTx4k
uadKA+26ad11itkZmbYbrE2UTNs0r8z7FDfBsAtDqI7gfXP5niE4jndaFqbP42R2cGU626HuYWiw
SdpsfGL1xrxsAd/V+W1lYLWKQ6d/6UYUsD5Ut6ncauYUzttYFPpd2q9Ovh3CpRz3JXbPD/zjYbNH
cmOk23Bibv1RYAR3r5BZYOVOy5UBH7vC9hRqEVSbQa/daocDM4y2GDHDFpf54E5+2VQuWgpnTLe8
cG4B/1tx7jdmFd33cRzeRTPoDD/WIT6cSuQrD3xEgVBonZzfRy13Dwze2y3mpTH0I1qFg6tw0U7O
Bxz73OLcpSlDuWDVpsXcNhfONCLU9NZU8OnEK8JvqQJSj/hux42jMNXiQqzuFbw6FlV9bi0LeqOr
4NZFVK0RmkWQ11yPxdN84WAXq248txI49rLWklHxhZk9XvjZfA+qj3y40pvhwtc2WP43fn/hbk8e
CO7pQuOOLmRuhBqK0n0hdtcK3r1WcR1IBfS2L2zviZ3fvLWctcTNn60Q3OPITgFwSo601AIiBrAJ
VvhY29ErQtbZ8pOUIQEKMrgb+37GIYZ4pzhmJpr2bWqx0siSbrz719ydqrX8/d0ZvP8SKPUXx7t6
5M/ZIHYPhIA0q6j9CCr4z73JlE/nfyshs/2LhIBOVtlKUDGoeZ3rGH+avDCLWGz8WRNzZ9rcrcY/
uTct45fZIPW4rQK2cb17xJi5Sg75V5Fiv9RhiU1om7dmcbIrc71ubRC5m2SSzZVeOdUzZWdxbqYv
zObQA0imyA3LWz7+ER1MY2bXXr404yZEDruwBk3qHX7V8VB1a/8Rf8iIT6OznwdvFKMi5CZ4IkY+
96hy1Rgr9QoDlGTG53LSzGXfXgZdtJETEqgkRm9Qt9NwnhNVlUqzexwis4JuA/briN0clbI7jEYQ
VcNyYCpffKyETaABEk9AF67m+C0TduRrWVYj4lnkrcC/cm6Kxg2KdmGoH9aYY8QEVDq2Owd2ov4Y
GhU1ZlvBuo7W6Ar4f637EduTXdOwHEQp6e0weiI+6ivjGLoTHTca7vRDHcXStwYLhaOmoKq1h4em
nhLjq2et4S5BCN3TzrVy9TH0N69gcBO2i4b3GDs2m8lmqaKOFXDiBXbnhie9zFNvPxTSetWs2EBM
1WTe3TjOyXQz4j1HYGHM2hveF5CZLZ1Su61YQN6Utuftp0ZSuaPlnPdxLAO52uWNTcvNC+QKNhYm
tXc/aFp/zlFDnsrKdpUmOutO66z6VGdiY25qnsMS1ZzHCqOKaHGd0oF8NvQ1eRYthR+YkU6GBBAs
Ybfr1mHd6qkxHBmS62fDU5zEBKQHl4GxMSqrI1+iRB6m4b1TWJSXmF48GO0q3eZ5be50ngdh12Le
hD1aySTkY1HM86HUabVZ7LKvQarQVbWzTwZpIs0r3bPVhfmNY1s5w4xaakeGFOstc+xn2aRX9trg
ei4t54ySHghZXxiBnoQpf9UV7KaVzPswK6AIGt4dZBbk56Nr3pT1EB+qJoluGdVYKCrjFxOT7z7u
rPum0TOgwuyRbHuNGR2Xb6zTaNXjDLzg1B/CSq8/5dG0sgEd0O2BGP4cu3j69JSF69KfluFxSDvn
ManDE65A56huO4jycwaHwYNYnIdFvOlHy3hoNE88DcMqHvD5jXvPtJ2HEl3dHZEA3hWdPiPtjJyK
K7a38YuF5zoDGDC6B2fu7evZyODKLOlXWOyi902ZPLVeZ97Nq25tHSsVDFlCaztPuKBbCTPNzbG4
FN0CrtVBRmlNo31teo3hswRrAtsprs3IzqlWq5oJu6WTNhCbd+aULQehl1gjN3FU1Pi4RzvfFKMn
IDYzUEIBmnzVCq/cRcyaH61+MV/hv8ova2h5TwSvLMAtFwut7vIWFf1xsOrAdWq92kirm29YOeaI
YcfG/ai17rSPOj4WY7GOaB2sIIq7Q2J0b6gnkBHMn2XVBdIDSaX3kfHWQfTY8V3zGdY/9xpj5Sl8
F5hR2SOugR3iiNu4Q+rudNjJ/jKIuxZV9maR1esgE8k/UF8E+YTSUDhttx3bFS2UUX4zAGMFiAuq
bZxq45FN+Qkf2XmEyHeF9sb1B8tUznYYCn11msmQDOCF3tFYnawk/loXtrmFs2+D00fgWExddge/
usT51d90GZqamLH/oU3c86iNZYCW9HHpw2MNmVrv8pd8ocr1ijMlQHPVeUCqdKOlYKrajyQK1H4U
uWJT1cbOzpZAT9edni/3jIfEpmmXnbGC/tfLchvH7rcsd+WDEvP6srFPoZF/mpZmIzqLdcDaY63T
nI6OYjaQcno7esMnWT7LuX/MvM7eeia0v652H4e+eBvyaWdbzQqhYb3Dt7Wb7eQEENIfsug5tUdY
UiFfdRiQNkqJ0WPnaSd7GP/RB7OwN5i15LsmQ54VCSw+ezjPWW3dGFPKliAa5ZvmYOeap/htJNnE
3nTVXDGUdOfsHMspAny09EE2G9oeoVZ4SCiUrqOMYnpLugwiZdfaMelMPmFE7rcNxN0tuM88CCfP
2tV2iNgsBIKaarF7A/Si3DDDhL8WGWsw2yb7ktqm2h6iDEF7PtDehTZJN5UMZheYrZ2uj0UIQqAY
9W2xtP1NmBuLL6w2aFbvYBYaJG7w5X6Uh3HQ4pXcG52AdliMp7JdmNmV07Kn2CVLqO3NB6GV4FB7
24SJMmQejIYs9ddm0j8tyTI9RINrd5tJ6qG27WgrBBPNUYe76yUS52DobavLYifqw+GjFtL3RJ2j
vUFqRABOrXebWoOvJWwzBhZDJzY3yX4hTWj//7/8U+uAS07y74u/Lbd/918PyfhnvvGfw5Ofj/9e
AuIrkYpSBL/IMu2/QI/kH6jJlIvYUvtZcv1YJvywqWAX9phoICMlUVNghPuzAkST6uIAYdoBIQD/
i+P+kwoQjMuvkxPBhNRQK2h8NLruUrr+tQLUJ1DsVkgOUwlXzk8bfKlDZc8wYf5X4QWg5FcdGa5c
Z+6R/214AXkN4FGdpD38XwUYcMo3oHD7AdfL72IMRDvA8okSmYR715imO49lTuTbXdfUPkAniRW3
Mdz4ziqasiYehy3/bb2mbb0HY+Qsm75IAZuTYhS/UOx2jc8xi/rSntxhCjxRevbJm3Sz2FMIrgWL
TwQG6mI1DGzVGokzkXo9kMVdvHUaAH6sLrPe2q5RjPDTlbH+WZiDexyBeEcbSxpzyFZhRe1DOF74
TnHbw+f2hHYFiRoI7di0abpveIoHw167+xR6LQWElrEr7efMBBtM9NQmjKISMJ4Vvk+NJcmtYnaR
+PUYiWqbyJxlikTOhrgvqwGQp87k2PuRBTdeccTzL31JZBQjW6IUsKaMDXFfWoSC0ZuwSpoiXZvd
FOPqxfk7t0y2uARAZyGEeHbcAmx8LwYdmwvWnmu5kD2wqdcVR0PF+I4KK2Yz7Y+F6Tw1Ym3andnk
DClyq2Trj9g0bPeCOLJrU4Z9eiidISFm6sKAaC48iAFO9J2sTSgR+McLb7teCBJmNVFPgCgeKckU
YwIRHLwJu+oRBrSYtcVev3ApbI+3POgv0IoUDMRAvVmlLuulokbX2tEY4IV0WsDsaWqeRz1KIfVe
UkKiJJyczVC3zev//0P2P1thjqPfH7NBlvT/gxWQx34/YumKaaMNxDb02UgAYSj8ZTotXGUMFhbo
OV3nJz/OWPcPbEwmtFroJhymuAF/TqeZdmOKVRJ+YdvshDl+/8F02lDD8b8qcDj7kfngaQYbgSHA
/lWp37EJLqzB2/LxWM5hRhoLhRs5D0YvyiBEVETh55nQBKimIK5IZ9iR/dId40ifXpO+EDeizI17
HMfmZzcav06pxvgvNBd9k/dh/W1hCrWrjLQB00lPAk/zmaqtBY3UWdceY1NiOIyvi6nfjwYbRaT3
wydnsI1grJrlFQ8z2QO9575lQzg75DzZ9X081nDo4pV5LVTlq0hmeqA7C+pobPGxP5nTuHdj+sQQ
H9xrSZ4ZG0IIcdFWeEUJxo0tmVnoK6zqMFhj0PGynm6JWvBYnLbZteOO106xvo+d8Y5dEbRRP1sH
omSao14j3eY7TxWKtj+ohT5tGXY1mGmb/CXNyKxanES7Wr0KT1JWrmygk0yBnDRQaIujHW1jfIdO
Me/6niUZnUjtXPeyhwcxhoJNMUDvk9BY+tlR86lLEiiVnlc/t+1V6sUPYTFYxxDG0kcnd7q3cnbl
jVUXSDo5MaDgdfLejbX+uRgcdON9OT3NJoI8qvgsu55rjYy0JoImPnU5wRmmXp6BbybHMWnHj0ZP
IZ0mmRVkg4O+fLCK9op1Vn9tRHVrA3XqjaA0ch0woKL5d8A2RG6eBErivT7Ub/whD6VrO1Djm2VQ
9UtxU3Vt9zEkEw7QPhkRHYPv00w9Pldul23wI+XFrtbQW48Iv9i4abzbUW2SyWHI6yqvQC/EsTeS
szKm4ploPibfeDGhfrBiR+AezVdx7hr3eUw1gh8xhfXTxoafk/z2ksWwXsu1WpmxuhW9JRT+MMPk
RBQGKXWZVsjbNLNexdqnnN6RHSxaIm8cHBu4MtrkuZBpeZ4Lbb2b03YbRTW9I9Pe4jSvZuQ3OO5Q
Cli3Nafqp3/NuakkLL8/N/+e1/xnZfrj0FUP/n5w4mPCwMSgUTrAozxLcqR+X+t5nI42RiYczMBq
dFtncvjj4CRgl1YJmQsBYLbNFpoz9cdaT6kalZbRAV9tWSz2/hHMRigR5N8OToicVLs0lWzpeR11
rv+1OO2ogWtO8R2qYnhxiUn0xSUlSTQIN9hkdz6qBHR532OSJmvsv8111xAM1Bv7sVmLhxYp8ynP
DCtIKgdPLeC/9lRq6jmL1flogjyJUhJES+20CIeWO7pbYRRv+erXXwbgXPcpSngCI16XFv7xFO8t
A4SbRMSe+aQM51daSs1S1rrjG5RoD6k3jH7tmXgjGZ08mW1h7YsIMs06hv05prh5SHKX/CS8gdW2
iFr9c4/3N5Et6aLQ5xgLGMM1ZlWDTUlcGpAPlT9kY0TW+KjVcXY98C1/rAqtuFlVSpPsWotfEAgv
fpw803R2KHWNA8YlqwyjibHRuyZ9HeqKDR7riQq8n0eAk+uRFNh7Q3+2u6l5tL3e2aom5RCP2hL7
iduznMjX/mCLLH/Kh7XcmWglrcL14xRmTdI3RrtNbdT7qJ4zeBF6017T1wK7ipf6jFGxuvJgad+N
CiC31p7wvVzoJ5Te3QaZHaS5UkHnNIWfsxSIrl68MNAUnA5FHTIHCbDObBykLdT+cOzAIdr+QCwb
QaXfSXcKejcr/N2EmfqNHDK445zcix9XWNkCy6kUdUtB9HKheHrmha03aBh5mR46fbqbFH7PcYb6
ivM6Deq0mw+5zUIUWpiz7xW1z9Zyuac+zJ/bC9CvVGw/WeCLsElHmq4jOzG+CQaE/qB4gHHX11/a
rCeDZZODB/GCmmAb/a41iFhinasVre/kSKuQ1jvgBssm4oC22ECTtnRBEhYuliIwizGDZTOR9tOI
fe0I1XXU9sbQgzVseoU4bBTtkO084EP3AkHMUGjCxhCE/Aa5BSeRqwZkYrTofOrp+Idvo2IqIgb7
pl8wi+kFuUgsR3I/Sl1m57Iryy/rnBsfZpP5dTChkPdO0rTjRw/wIZEN7QBd9UIH0BUogJ269gmU
HH0US0mg7CVs7aBiUd/hFTHSIuAShjvALU5x3ZRyUAKtpnsfncW4H8RSfOF6NM4y0Yq7Ad/7GzaB
FWDTABg/svriemjBALnlcDsmUn7gtiAFKjTnjGAffCa3TPPcws+seHk26LG+5eNo1Ttp6dk5kVgh
/LruquRWIvF9b2Al1aeGhJr7NK6NDvbJGsszs+4C445EDwZXIJv6nNC0OeZNGVfpEqcKcn5XAogk
f0ev0/muS+P2NOa45PwQQfMbnuv4yfDGqd9l3mIzLM/xb22yfsXyQBqZbLb2TGnAnEVarNlagTRK
ejmuBnhY1W3kLgNo/Zp4nK6kwatKrRHfihbHzROjXdQ/4QQSya/IBYryjWvVeXnIyXILUBWSPkXe
Mo4CNawcdpamg5+SdpyEx5KGD4tLXeKaxgnNvlY03ifGcmH7lMfWWvq1brcf+ibJHmajzOsrt+jb
ZutoIv5io3/oti07eSBZWemFe1mPFQ0lE/C924lxt3YgTkaRf6nSKD0Tp6i/iti9x9JHK5RhdJN1
9drn45VYtevIwp4QWSSu0o5dm1lDj2mQphzg5Pf8ddS9vcfoPkTH1Gg3lowZtwK93E1knvij19gh
m4t8mvmOiPDRa2EfeFq27u2lzB/k2OF4QDkK0ZStFYMulR1oUqydIgErR7D0KI9t2rXlPs/7MlCy
hX2aGgBm6rW9HqlWznmlItj+kilYdEyJB4rZ0bvKKhUc0WFU5QOCMbweU+12GvLiuEZM7bYFX/v8
+pIwGLUCybuTJdG3nO+2u9GbzP7YudM3IFQOJJ/J8ngnemxgeFkPaW/1V5fQwZl03juqqOVlDlv9
nNfegFar+iV9kHe54D4IJ8ymXOE5YhFzPlQm2ylwpTUZOiG2o+04NTgtlz7PI3/QE/kQWW26rSMK
Pt+VLQJFGNbG7ZB0xuRLrpgXgSv4c9MPzd6RAzyhf021ZbEW/X21FZRDNPxeusxjvxdbpKMwy1Mg
c4s9MPtdqp3vxZbzB3JhhyoM4Q0VDxmZP4stSVw9ZlJEJQibERarCu1HsWX/4am5IeodyjHBSvOf
aZfVi/yt2OIX4/lwtbsOWi61Wv5bscWKp4dyTHgPoQ07nIzswZTajw0YmYNKAYjyh5XiqHSBlVII
TgyRDq6RjFca2aXBPJrzdSlI9t5kc68ihBHVXNGwAw20GKDIFCVidxElrkqfOBoq00BkIvxg6Dbe
tEZDypgoVaN5ETjiMEXsSDhDf/YuEshWqSE1KlISvYmgr5RWEr8HskkccZ/6nB607FUgapxGHQKr
ygOr18GZfqDIzDd4duE7zNLZjuqQGxCdgAQcE4JfyH8/LqH1tSKl4jT2RvIwoH/cN3kZnioAggQm
EvZUwKzxDSyYj9FC5y6yQv8S5WI6Aj+e7kmFSbRNWkTho5YWhiSn2pPP7uS4T7XI9KNLbsvX2Anr
PZmbmzqx281aNNDD+5assMhAJ7OJ2DvvtUIs781quE+TkMXOA9VzkEmCLmgKl2PnucnrlGnimtwZ
+YKdsbodpD4s3AKpe+2GbrFzmlbsEgGatSFBc1ux4SU1eTWeESPZ51EoxIlMqr1BRxs0udXccRcR
w9x43SnR62pfmFI7hNEUqwBIPdlMhR0fSrYavkvs365sUMsZmZkGhWt2hxBmrW/AhcGIVzdbqZMv
prErfwDP5fhlOzv+kPCEI/7fWyYu3YGsKe246t5wLUaj9xfQ8i8L6OovldGKPZs7ayeyxP5kKEZh
omiFDQ6Ul0wf7ZO0YRkWcHQIf1CAw1GxDiempJuiq9qrWG9sVL/EfE0Ts4d88fLXOk/NY4Iyf0s9
aO+GCliiQ51wpc2tvVsvuEWPAI3NMsJgdLGgb4TXQdBMbfK0GIkXitmY0oM+xuQtOtjY4TrKC+Jx
veAepSI/GjZImkbRILu+sV5NRYhkdmscOkWNJIAXY3SaVDEkNaiSo+JL1oo02Xt6s+0u9EnFoeRG
7a5WGzblrCiVneJVZopc6V4glvoMzxJHmvMkFONSIzLgqwKRv68qNAVL+719yVFZVaSKYTpZIEud
msVJ6m0s4S4ubczCGi4oyVkqmoVAG+2+VKpdS+l33YuUF3C/E7hK3/vvuQb+R6bIvio+f/39NcBj
f/bcrg15TEc1KxH4KCrt92sAUSwdOHJCU3IQq0Tun9cAjTo/sMhQx6MC8INL5cct4P3BUf13c8s/
mFUyEv3lFkAFpKM7IosDaZCBRvfvt0BauGPWoq+WqZBB3DcwrPoZJYgxo20dMWxt5sIuNxxAut+J
4d0gc9gvTVnehEYhjnIR1m6UI1WqGS7tHvKA/aGORX+Dk6U4Cov/RDIy7jMD9sIYpj3zcqMfgW70
2bk3+TMtJXTD5THWL6tpC+x1hgLRG1p/kyq0vHmhzCO40XG3wRPoCnvYrx6P7GobXzAutnYrLLsM
+rHWMQR6zWfMyAMbkxxwRjZVd0UiP+cxZIIhxy7dMGwbD7Gyyi7KNJuX3ezTo/CF9vgltXXEl6/M
tVRNcpNNabm1F+1TpxUuiRMDiQAcQIRHRMxTySMCkgoYSLX/QZyW4AnrWfft0juNlvfujkNJDOJE
r618vbk9PYXW+rjYxZURInsto3QC7qQtAb6UxB9yt96u1tScUbu+oDTTeel43mhtovvTCD6/GOKe
4BEYKHjnUAuJaTkUYkwPmgkRo1hJ3YXMgdAgCrkXo0XDSG3RdFrp3TJZGnLi9JRq2e1K5p4V9ycX
CaMP2Y2/PGwkWouKnFN+1eylIlLjU6K7Ec5xAzWSV3fxjY5ZlLAhjzA128Ndj/Fp8IelqHNcM/Hq
VzM3/2q2ZaAJFFUhkLCvedh1Z7rxDNEkd/dgD8sXE2tOgHe0YW2vC9BfA6exwG5+B5n1C71quOnS
XiAvmuGQd0Z37OCvBknHPBX9mXeMiNTed9FqM4duWRhtlos+Mu1S34pBWjFtyRpGSCI+a5aWk+VE
Usp9lOq8U6WwVXf7oOFkfBJGm5zINjGeZwHKxIeFRXbyMnFBLUV4U3Zkb23alApgr5mDea9FC/aa
HHHdNbSd6CyBHs95cRf1ecFlWuZX0kInMvV4xjHoRIQwOAzvx7Hf5+lITleCTnwzmK52WNMVk6IG
DOIjlv6BiO5RZs8rYZ47F6069JESWJXZRO2xz0OQtPzjb5u8w+S4usONPkws9ird2NfOUqOXqxCr
Wk5Mhm+LaHxrdDymn4bhAHi+vjJpxR8qtLgnZwGJUHoYn/Iy5gtH1PF0zf4qvGKg4N2Ey9wek3xZ
9kPCGsDOcbAQDjNvbYB66FosuXMJesMpY74zFlTpGLXRBjU7G7rOgVnwsiKLx6uF6CG+wPvmsJo+
wUwZ3ktPsATIAL+HJDZfTWnS7YSV0mG5xGzfURiz70uqsnxKSgR3m/CCBkTV4N46TM8/qUn1MRPk
NBBwaaCoSTzdDOY8YmgQrhAAcod6oKxEcwwJmSA7Kx+DMS4Ze62e6+eDFt324YyjTpTmqe1iy3ds
qc2bIV3KJz1ts6OJvabdWPNCUI8V5lCURDHie4FRs03BfCB1iV/ABneUihiFVGJa+zxk9vwZsGoN
m4YcTL93dNa61CagE4WiKOory02AXnPV+PUFsYiDiYZNzVe6oa6vyrJOzo6avIi+aB5gtU4JR7Bn
vWVopGNmDPbNoiY1lkMucl7a80PjmksJgESQy/GvubZVztPvu7dj8Xsdr3rkf3o3OiwTUYZOrMsP
tPt/ejdaMN1ls8jhC33Q4DE/BuU0aEh10WoI2jRp2X/xv9h/GFhSqQGEJNmSttD8RxtGbKq/9m5M
6CW/GtWzMLxfo6uGWXcSgDBbeLTmtmwJCUGlCo4lHt0NczwBWjSqry1g6YdKHwmzzMaWpDjdjF9F
WNtKtg9ftwzNx0jq/Y4oR1ii2dnsJlq0ytPzY+gljT9aYDlHzSIwOU6yE3fZcMdfr+Q2Hz6NaVm+
6hwHJ5A9ZNyZpN0pY/4hNUVDs+R8JBAe4adKxytItvug4aXwqTWMs6NS9LjL2507iRdjEDBDYkTC
tE1gSFQGH6wmTPI6cGJdpfPB9nE/tlZsnwfRe9erSvETKs+vJdjPKuik4jaOTqVK/UOWS7GNPEED
8UUqYB+TD+i4rAlcnB4BuwCwL61AYOzW8ghknmHkRPKFqwD1jkLVR4P9rVHw+qhQHHtLi6sdvEpC
MCJ3vbG6Kt5LV5HX7AZL0Maw9O5cl4LjYUEUeYrMhOFoUz+jAEgRek1kGFYOxCI4TDjOL7z9pnae
UjgACKnTe11B+Zmka4QoAurH5uk9J6xxd2sZ1l/xenLHgpKez6a3R8HxNusjbEQbnOZCiSTSXY5J
5NZrWvlmk3t8qicIWYnNdb1ADPDTiZZrLOaQq8izrvKKfXEB5PgK9hrhW27ifXCaBrlpX35kgJjD
YGbXQuuuk1yFZ3BmzJSWDO+t4gvxGHRI/HfQ2ct6Eo7b3+dmNHzRF1nuLBCruzUjXSiUJWXWTPxY
Md0sWH13k01p43XpBzrIYa974fK1N0umV03sbbs2udFBMWxmlwTpqbnKVnDTJqK8tNC6oLXH+FTK
iMFE3KO9y+xdaoLrQb88/Xti+1T+7e8PvttuKH/brqiHfj/58ClQVnKIMRTSMesZPx0MFj+hV/mT
jsho6qe2QnUPjLr+I67gQT9XhMRgYLVnogPfRPnx/8nJhxTu7yefQAWHrR9yFqMzMFTeL1Mrtvx5
KLoWa/Hs3PcwnNCYp26gySEk02UNgyjv0FQPUm5iUaw7Nh7mFV510paytNzYs3lT6/QbechIqOES
vxezJACjl0fE79taerv63dBoefCgmcUGw3D0afQmJMNxVIF5nc1Hq9DfisZmdxfCLDFEA9spJ4As
zqzrPOMwYtVh+BaWHR9qCvuzRpAzRyz9QTf67KYkpHs7CHgnOJYBqabL+oD4zr4TQ1/fltawawzt
a0EtwWiqnPf6HNcv5HiAM08t/OI9pOOtLqMnF9aUScbuMSzT8LZNcSciqVdTpR4z82p4QVnFAYkT
IZE95BVWq9YdzNxITq1a8s9q3a8ozGKTKRFAouQAyUUZUF9UAnjTcKEr6YChRASI7JdDo4QFllMX
xc5oevTnnle9IWHTTg7oxg2KEtevWrv7CPiuuGH3V5LvOw3srhAyrCga0o483lWIEyG/i1pkInsI
O30vqhVWSl51th+N9XA91FN7lTHuY+KDzzFg6WZs2sQeP+qNkRzBC+onyEnm0ZTrG0xr+HVh2E5n
T73NmYE4PZd585RM1nUdF/fhNGnEslZA9tMMvZ0YeZ1WzeB4h7825uj5XjVjvWcs+2EoOhxhtQkm
L1yhuYXwCmRLrE882fqZeUx+5VjLeKizOAJasw4fIGzaPmowfQ/o90kmE81h5z5FcioOUdY9lLQH
25VF8C2v3GyXYo3YZU/GNg69dNe0Wn7TeRm8lkhr36wIVRzK7Q3LmDc0c8Ye11dyXTtT+IJETtzn
cwQowNLIH65LgqtrwD6wNi3EHsJVami5WwcLxbo7t4TjAX1jugieW0s/DTMIrzbU6veoidnuLI5w
tkbNh3FK0+asTU74mqIy75khfZNN15yypja25MhpR23wlrsRxcZhqeZuS1/APogvaR+Eeq4/XsQt
8EaXG3TW1XlFJnNrobv2ERfQPhaeRf2LuXRDycGCrMaUk8cRjazTaCcKgfyRgfX85LRh61eTxTg2
zu2v0O7yh7Sb7pMpnu/gYEjQeLW1qeboUWryA2sOcRNNy/BAJ+s89MBdAfkU46bzKi67sEXW78jJ
u8aBOPk9Sl+WcIOEeJFX+9FEvY3RCLuKDcFoSdaP1Zyse1AuE5oAYJpaVGjPemlYd9lC70gGSLtt
HVP4LQRAcB3ta4rsZq/z3dhE+ZAdVzZVO0A575k77MTIU3syfFtCJb23ydeL2c2hJaflTRygGBle
ECqWeKvBsXySS176qqXbegZIUFaB5aHi0+TH7ZIEDApJXFEU8WyBLk1+VnKcyxKcz9x2fsJOdrPG
+FQXxD1+Nkfv1iS/1Iutk53SZ8fSXNEw5MzD8aBd4aoAQ41lp5wBl4EQw9SMDgB6+DcauRtGlCNi
KzOa99FkjNsKxxt4TA28HLQKFuj2TlbW8B7abnhnZI2ygOmlr4vpvIJSqKERUW+JaAfuqNh6YCoA
oHN4lQV7WiCaUI3LEfL5GHaHtFpMf1pLZuNQUTWSKAvtemo8I3CW9q7K2w+DajftvEYtwYN6Lz9P
9bKcoP4+e1FtBBqHj18kpIL/e9ogpom/rwZOSfRp+vTbekCNIn+ML/U/UN3oJM/hUURs6TGK/N4J
IajkLsaHTxNEzgAzzp/1ACQA7mn4AZLpBwNOlx/9qAcYerJ3orZAa2RZ9DD/rBygTvnrEgsQAFg1
vm5gTDGW8xn8ZXxZqYttSo/NWLKmwNi89Qh29w0ubFwgCqTuXKDqoeKrmyScgzbMvPGdOZlW+WEK
i51zqn3Qu8nBeQJfpTKwaJUO3y/hiPAIs8R8TvvJuxn0Dt2irYjv2WqsVOTRDUxGSu2pVVh4Vxbl
HTZJYPHAUQDHxzYegWBRPPncgZ/Cqa8w82yTix0kAmhmMFL0t1Boz+2FS9+2ClGvYPVywk6egX+E
zCP67gwOZj0KBbiXYNfJJNBbRkm1QuBDQBgfhmxiTlddGPnGkKRIIhU5XyuNKglkRNMQrAquP8wF
XB9X1O776DGBcquifvhv8s5kOW4k3dKv0tZ7qAE4Bkdbdy9iDgYZnElJGxhJkZjnGU/fn0PKTGXe
yrTW3d2uVVWZkiUmGYD/fv5zvhMtRH6cQwEkTDD9iVHVlCz0Ymx2YztK636K84Kc0JCfejDA5k4o
6L85FjoD1dIFQMd40DFrjXQEYCJLJ6LTI1Xlndbor747Pbn53LOCyPun2o0ENTNL2UCVCn8AmSDS
zcTyM1qXlgGlS6tpKfBb0EGQMqWscAuUvFkxC0T2VdkL68aGPrqVRTCuvbhMHzPuqTe+N2Tt1vJi
4zOiNu3yIwbaTSYZFiGqYEHi/X8RF7X55hSR9azpGVo09Wn4mUQQodYFMJReBM60w1gEA00FiC/X
nZXUN9J2IM/YXnbn0rxznQeafHMGYT2WlkvZctNZp84VXbaZI7t7CqKY23UFeOkSa4b1YNvsOFe1
STOH0wzmReYNzj02rgLPKLK2jXVgyt8MElMXmt0WLul/nrvtiHXcXeVhW2BpErW1twqD2EGb2eLo
cDl7sOIKD3FnGPclWFAKfOupkpBW084374KwbqdL3WqC08DxUmzaPk+eTKeujXXqtm60pnmZb17P
pCL9d7l2lydd+FHQSRpv6oaZgep5jBsQLDeWmXnvyejml62fmi8dPzuxpp6kGjZmIoBeyJEwbY+d
562Eb3GmT7qDX8eiE4U7He141QaYxYD5MaXhBx63epn6WxezV7JP8rR45jNL5VpszpddRxS5IRCN
1zgdc3BW5XzThVU6g8hjVl6VYg6+TJ1WPBJnap54D9VsdJmgdlPQJIfA6PpTVmXhdhx8OzzajoEV
G6cPaKum9GO634rp8zT48pEwh3jkc2pZ+zGWpY+7tzUffd8h1xsD3aYymv3hbZcH3DctUrgik/Y3
20u8vR0042Ocy+TZGYz4MTTTuIVc3TYvHhfmdhXFTncNYtk+tK6V3WpG7+zc2rGugzKipmUKrYu6
oI24TwL/gPyf3fRgDq7HIo2vh6DLj0mMjko+o/wYTV/fJNDv1jaNwl/c2OqfO4ocdrUB2mTVl4N/
i/o4TJukhyt76qLp69wq6VVQ6cYFPmLESfSOQukwNi5HxvxqZTGmPpdxa7/lLIp3HTVQvCGq8ZIl
AFuArMvwlIdVjD0nyE0WoHNgfxtHi00kgLxkBZcnP9QAiMkchrpzmwYxZEKfn/2aLejgrUpfWrc0
KCTtzhhk+Y5hyfnwoAm/zMmUbnRaMW6psDHPYO0Z1jRnGqK1azjdjaHKRNBziuFi7uDm6ow0+yKP
xnMSAGVVDVUJjpWohIVOyPBKNhMUMsHgvOfBblhgdTPz8AAcdxt25Og2oQjag+ZX3skGDjavnAwu
Sds35r6xI5uf28wcfwObg9aKFMjHHVWAwLInuHQ3IT4qAFWlDAi6qN6LXFVgGEsbxrQ0Y8gc0XdT
RxbPUV42oiZZSZGGMalODQpT03uN1qotBRX1TVpZ0e249HGMotPE1lt6OgpV2dG2NpuXpcejXTo9
Rs8dnaOrqj5CVfrBBdRLVv82A47JqvLvB5wvxes7M0zeRu30E6pBfdGPwYZqKLzQYBfAtVq69ZMV
mmW6xLjjwmnAbcNI8UPmYKwRkonDQ9ol4Wfof6xlGWsWgcOTkByWOelX5hrWmn+da2ymGsUptNTm
GKvOn+eaIeat3KYSHj8foFVX9+lrEUc2CIY03SSBzT5HKkqxH9gFodVRwYvdUQNkTLdRsW5dcKRe
QI46SoAdK1dnvU8UfGs147x9rVj0AwXgsCpd8ZWARHNDNh7fB4IyWghZmUOn8Mq527TXIHhgLgsz
9Nn8KhQzc0fw4scVvoxQNwEmd4YFt7lNdfGl9U2bhoOF7GwvlOdmIT5PCv6MJxkOdAuT1Dhz/Gj6
qpy05ugMOG3Ak/gheTOCWEw65LjOpDdgTNstuOlcgac9haCGliEoVFJcan3y2uGQLrzqcWFXg4Wq
aaxzNJjWTtGlEGOq7tYirffNWOjX5kLCDhcqdtuHGRV5gMgzRiRrKh6SRM6kM3xJgxRg7UgHroSJ
FitTSSk45wYE7nHW5n015DJ66rUx9Y6OwnXzV5ivTTcNVJVTl0zlxsL2nhfOd74wv9FE3FPV2Pxi
AivOE9QYAOGOQoUPYdfa22S250dM7HAA0au4O04c5lHeOHuTV/K2aQLg0KzOsVu3EoJ2iWkbSOTX
uqIDwkqQW2mrumUDGR3NvrcPPYbOK1qB8gsUiuliKE3K21vaoFY4DJOHdM6nlVeojmPplMfUH71V
FSGKkR2nczmuP/Ssi0+OR60Ive1GchWI2UjXvukG1GZ6nm8ctEAOylrCFtg9cVEY69u+xBD8YvL2
nmFmmwEW/nlGuy5XYHegC67ShP3915FBqCQfyWb+vh+x/WPbnUtJH6oTUCyYmeXW5INDDhAZW39o
1NAjlvknUqNQTBgoWnncX10amX3P2s44dV3kL4YoJw2LN3gYTFZ9yO1whQDl3Dtk8C8aNYSlAZ8F
GuAZzWo1pA2TYF7DrN0/IQf02QZCi3Uq1GhnqyEPSj3jnhr8smhiBFTDoE952A0Hl3c9LLOiCjRA
0e/HF3OZJcPJZK6MMXlHDJ6Mm5EaPOn7GC5cNYxm+VivHRat5SZVw6pQY6u3TLCpGmbHViaPrhpw
U3AKUEIb66ZIcnYOtS+mZD+ofi94Pu7ZXEq/OqEKwKhaGjblpGrBdNUQ1ixlYVEUd5SVUCE21nSJ
pd9rxUwaxoLCw6Kw1I4xIRCXILMAIlL1kvHrHXe0R1FWNuO1D9DFAt1c4yzD5ZpbIie0Q8sZS80K
qqfltgXUYSs+O3UbE8BX7WhzoorSjDpwbsRYPIA+dLCpq515aU72lb8s0oFmmLfVsl63hqYwNphl
zafAiaYZ6Axb+Y76ggjj6zg8pgmFKrvUi/QZfiObfoXxrPaMVBEUNGUSQILum3VFNxx0TvJQG6En
fbOylPmgBz/RrOnyanAbBPpTpvwKv36aXkVvaEjFR/u//sfb+D/finKqI/K5i0nnj/91Xb7n9239
/t5evZR//Sf/9IXN/1n+OHgvNi/ty5/+x3Y53W6793q6e2+69Ptf8uOf/H/9wx9n5MNUvv/v//7y
LYvyTdS0dfTW/qvj8x9FhZv0pX1/+XtvrOpG+kNVEIQ4kQLwulrELv9QFWwbkJyHym8TU7Idztjf
jl+d41ed2CwlJDwvVSL7Q1WQn4TDcU2eXfHXWZL/yulruGqJ8BNCHcGCnJPaMQhPLWz/A14QW7Xb
ZNrOHckj78yO5iQM7kHIbZwXLdEB26vcU28bNpEChybl2yiPmvIiR6/65lErFl07bSiQ/0k0YvzP
uc1Vuk2ldS2rD33qpkcX9162wYM0XXc6HLeVXIIO9VzI525JPxCDCFUewlfJCH8JSfQqL6HFVX7T
qgxFZoX5W9z4xm2pEhb1ErbIlwpIlmnUQQ5ELdeEoSiJpCqSij4dBxbVkkuRZJXUlEqKpWCycrnL
realeNK0IRBBZQ9q+6LsM97Vkmd8g1GzZ/mp2isBVljiYKOM3IVLu+XYWo+Wn+WfpUGvNzQp1Uxm
Ly1lka4ayyJVXtbC27solkYze/JpN4s1l6azAvwopPelAU0sbWitKGR09kOXjSoGB1GQIVTtaSE9
avbSqOYu7Wp+YrXWyuZa1Z2QS2dgG6FqY5tYKUYPmSppAytfYWujuK2RZQOj3hqoc/MNYqlLx1uA
El5tqqX7jSDBRwEnKVnV5IiAzpZSHhAz4mTjpw2FscwKNlGevN2LrCoJ8JvdlJ8rqZWQ2bPMu+W1
F97PSeY++sasfXWrkMKNPMYOlHoZPRHTbCegg3DfA3M26+6AMwxAkymKa66ixrWGsNJuaNQNwtVg
d1m9jmxDXW4icmGDY1YXDcm1hEs7qChKdLz5Vvdlo52HmF2FAEJzmftu6Wwgpjs3hmOOqNhTI/ig
eUn9WrdGdoArR0XtVJP5uOxcx7+ilBs0kI+GwotS9rm1kaWlXXKv99zVwG4B6j7VnAHnWGpQMtwP
21SnGiPpoug6aBMBgJo8TL4aKc1kQ4tFmAyFF9Ai4nL7+pJMMt1avYAaj4Qbvg9pre9Y76n7vwPE
cK6t7iXo2GBVtRUc8tkPtklFhmntpln3BbsTxC9bZhSPm6kZ3flCus1R0+o2uawo6uJh9InW8ekk
u/Pr7/P/am9ql5eXpwqx//5udHr51uX/Qvz9/Uu/v6TlJ2rwbH7LusNvQpldfntJO5900vKqDg9B
mNsQUYTfX9KqKk8oIDokO7VD5jv58ZL2QODpuGc8g0g8K2b5S4V4QvyHVTBsbotCYInWTA/HUoTx
UzW3qTEPUrnNttQgxakH3ldDSoLYzShzH48njdfHGIvYOrGtTjuDdJ5vG03w5LTLUxRk1DtZ6tGK
l6dsXJ443kM8fYGlnkSFDbgG0FZek7JqMJzxyM5kJMkWzBUAsmx5qovc5QnH79rea+qx19ULIFGv
AjsHtXpbsbTd6su7YvZAoK2juqM61JpC0g6YBR9bFBVAtEXiHYRB5hMQ6axY8HI+8j4jDKCKKi13
orOSIUyEO4eiy4H7kOFAtqoH93NMPQ8mXU2vx00MIp1a00IY2HGM+tLMjPRpLCuW18hLWaOkEnEe
7Ak8h+v3sMH0ZhLY861gPo80UG7LnNqGxE950+ulsYncojqRnjSehpJd0CoktbJqh0S6B9ft1HVi
cO+1lDX6epRJVJ7KCH79bGqs1UtTT7/0hZc8SKlXu0T30do9gnXl2AWbSB/0ft/rybRzRds9p3qZ
HLu4JNTIfp3eQV2rr2yrDa8zMUc3k4Muv5pKkuZbBtN0Xtc8DEeBGgndw/ae+agOH37fFc+R37Mg
ywprN4xieqogheirhsaOfke0n+wcx/gLl8M52ApemNDxo7Q6U8pKCVFGbx1doM7ZDlzW4i280V2h
afGVX83usXaN4c3PxXz0/Dh5IlwGdz01fPc6yaHr5rHZ+/vMpaNxo5mkYzbgWa2LyArc98YPnA97
1rx+U0AoR5jiFuVBpWnjN4igKHRkSoCb0LpCt1PJZgVXokeNCAlFT5XVbRytpLOPKcKj2rQv+QlG
nfnQ+31xE0s2i7s8MV0iMOnwxK9v1PetY1MjYOdl/RlYHQ5qNwXbnbVTs6KSZTQZ623nsVCi5Vrt
Ha013kia1PspjQ6GYrjlcQw/LDVj7asR6O4p6AAcN4DGjFXZgz3GQuEeIpZ3tLIARQZANd77CpSc
SG+8jzRwiKaX40hG1lQNxP00XqQLaTkFNXsTpJ7SKPlQp10FkjnT/Xidsx55SalJupgWenOalAMI
/CwxBfWoAJ47TwdRr40w7FfYWALQQ0MVPQl1Hgc574MNTU7u1egY1dOo9RZDkPdRAmR/sQiaZiuB
NS5ft1GE70tIhpPdaJj9ikN82E9R3EDJ8TX7c4bVothM2DefGru0nodGWndlGJY5d14u7mE75ddQ
aKhs8cbIfSeV3anbek5XnxMhtnjkgs99Vpn2fhon/jK9z+crzR7CFz229JukMVA0M51jTWP9fkxD
x7qshiZgCdL5bELt2HduCT511safSi/aSrrr11o0VzeR9Nqz3cbebUdn27wGHKcdY9ehSNmbqWSQ
85Rs2slL3l3y8wQ3wW7sUWVxGTS1y1KWooVm2vkeInnFsoVKbf7wrNPe+6CHdF6u4kSW2Sb15kCh
xxrMxp0zHMDtF8Z6MNFr6WAIb4K+sCjAtcZwDZ3iqzbj3Q6kjZM7pl00Hunb9msn6DdWI4IXPPUF
VXy5H9PYJ0drDbaaaDMXAgvUfzo9V7o2ytUwenhmdJmQ7uJdlj9CRWk7nOgteOfeyrLmwYgEtQll
lXwpGD82PoPOritzf+e080DvhGYhW/tdd10lEJYuvay2tC1ZAuNKp2AmXict7Ya7RtdrgfCPe/5Q
5+b0pYp8K1kVtO9dCrZnuOXnit+kSSmfOEHzjnvcg1MkoIcH9ruuYVom+p0e+VZ7FBRXJ1M6QBvf
4pjuFN26rvbtxIJ1Q16VW3KE1osXMghgXEFRRTOe0rbaSpzH3WEowGLvWMlQ5qET6SUwLE2SsUnW
9h90/gQUiWRpbOxDVlyQmjLHdvf/FjMPXDVucf8w8wwv9b8eeb5/5feRx/lk6hL2lLKZ4+BfIEHf
t93mJ+KLXFkll0IUCOzBf4w8+idAKMwnhgJywvL9+V5K7MehjMuS0kblxa72K2kdV8m+P11MmXf4
vhihFFqOuuG/koXGEj/nGHKD74r2q6yrls5rbXig9dB/5PMYX9h2W39mZ2h3R4e3F/GXmH3xCsd6
+ejqdXpfzKbz4WspWpsZVRC8CxSyW0rPKYobOY22ghvhW5hOlFh5ZFL6Hak7p9rogM+4izo9782E
VhBatXlCb/250G9MI5A1a0bOlpVLq+d8GmB31BBdqB3zyjS5ynURRysT1tYXrwuDt2lmhXhq+xhF
xiuV00MnbOrvBzNKtbUw/YZLh5znk84FKNiGaT5+jNZY3IlJRDj/1cqQ0SQXB1qP08cUPZYOGsTq
Ly55yEtDyyjF9eEt3kJuBZs06Nx5d4YlsDd3kd9G69bQxxf6D5jECG6P606yllz5ji+41xN5J4+j
KbuOU2f2MROJ2ZznvEcLlSWEkW4sLTpm3LzfJTltI/uKfcG8HsBagEjgk/S5k51drnXin3eha0Zn
l0bK1zafx+IyGAXRSTa2/RuRTqA3LPhEcASjKrgfz0kx3glb66J7jStYfplZKT1ubThlGHOl95Ql
bnaOm875nFMMs+Hgsi/bhBBEWvNrYTs1vAJ3xf2skT647AiK07gTzsMuDtLybg7jdj8rEoaFSStV
sDVQl1rU3SfBwLfZNTpMhFiOtyhp8c6As/pFpoV+bOAZXTbVEO8E7LhtmurxjuZ2/Ft+n0TnaE7j
z5Ys65Ne6tVrU1RogRkdOsPIjxOfdzgcw6EPVATCjo9zV4tx13PQUfaTY+Nb94Xoy11Lu8huqpLs
sbamDjFzrsIbvD5g6QpkYbXKT/FiNlFWcdJQC7B2+SkBdmbuGVd16Vavha5H4BtSPfqYAEkfZCVo
SU5CAzpLAevk3MIZCVewXBAWAEun1V6vXN/ZpEHrZtshEtFD38+ahoc9R93mD8P4yilVgiXhgN/6
LpGSMuKesDHyUbtrTDmCrGFx4rIK/NZmenaAy9Uda79ILr0R0hI+aeArfmftXM8XG/BO0QZrDRyT
WPZPfZWM15jxrb2bQegkxkpJMGvcL26PkTNm7DyOEDuxpFaErwSNc1d4S/jQDbD3h8ooALqG4nHO
dO99opR6Z5Lu2rPOT87VZPqbxsmbt8iO9YuynsKP3JHzxs81GwdnFl6JwfpcybZzUDlsn8PVpu7U
Fo7zeagD6qLK3vG9i2Z2KO8F1mK9l26dnGx6Cm4lGECBjFNQ+mmPWd5dzUk3z99s6ST+QzPygdwl
ZSS81UQrVLF1tYZlhYe1Q259afPfhVfSpIwbHpqe2fPWvQp8w/kchPnsXmv+NIvDUHfFi+NU1E8N
dZS+dV2ZnMoC3gf934FxSsUYJ9s+GzwAzyDCxHpwaVw84qBEsuMDU1vDeopjTZxowLPbuwTR4AL/
zLiKWEpFF4WbecGeUafLEU6UHROExzHvdFqM4lz7jGjhXFlZODzaWUhFA/UVOAHtQuMED/AdnUvT
SpEoeHSzjRlZ1jlsTRM7QILkjiMDz0M5DuWwCuhLDUEAu1O0SRU9DEyzDayXtfxbA13Y/0/I0f/V
5AvDQZbieEVR+IfD/CX/hxQPX/r9NPdQhdEIVIqHVT1ofSaE76e5+8lxCakrNgNmd7Q1Qrm/qcwm
hjcLZDokLGVgszmDfwgYaslr0bjuseKBnOCav0Zg+Csn8A/zGvFgVVnH3PAz7qrWsH/1ttgX8UwC
VfB9AgZU13lsDsXJd8aQHF6Ql5+dFBcCBDgfXIpbGS+hFlKubES6/tFK4oX7aW5OlZtiPOG9W51j
btPNAQq4h17XQpzmJZQ+j00/2sdoNtSkPtSPMz4L3p92Fj0HgRbF914DrXNN/7UzbTplj3CMQtun
DJkzfWK6d2rpJjm0oomwpip7xcxNnsJNsCvFxlIGDG/xYvAG8a/cxaFBCifZp4tvo9CBexvKzDEp
W0cajcOFuXg9tLHvbkhP9xGEduUGwRQhzg2Sxi3SQLoJuXu9BCUGkjBuqncQgGm7q5TBpEl11paa
sp1QAYoDJTU057ZZfCm4NfJDRXw2gZo4cTymo/VNVCMpxSBSzpZcmVw6JE/uFcr6wp2XU0bZYWB5
WG+2ssh4LZU4K9tsjMti8dDYyk7Dphtnja5MNj1um3Tx3fSLB8fVE/9WuD5VBt2MhEE3R//sKONO
qiw8BubzDff38iNVBp8iMfPjoEw/s17Laxn42Y2pLEEztudV1dHxU4U96DwNesF1YOIiomAtu0W+
sA8VnT/X/mI3YkWA8wiJv8XcEiWPUKBwJimPEjQJHOFWY38TCbVtvfIyWQCBSPH0bfBOs2bgbrox
MB9T/LU+4a9UWPtSOaNYT0o8Tu74uVW+qWaxUDGVYqfCPsWtMVcuq2BI+5PTJckB7FXaXXhupYfr
VFLwbtZDeGVXfnwoAweoQlcbxMnZQIgVdtLpuc0TuQ7lJG4TJ/NeE8Qca5eXufm1D/vkm9lF2is1
ye6HhBt0GJHktvZspYRje+O5TKRxPdgYqTKgvuehGYsvgz1SxT7MrBOwU121Y8yhQSaPH7wWCbml
a4BcLHSG4dnlR2at4GoZt8lcwfJ3ADF9pSbQXAVOUHeEffP8iTuCQz6N+1lY6oKImJO845Xqua7Z
8c3gOOB6aSN6cI1W3vWYfx5BKtTxRgtpg2UlfGKiLl+E2RbXkYZqi1+j7bOVRUSUggB0/2c8ZP62
126tcmrPE8rcSjpZcdGjil+H3igPJq6OY6VEpw4C3xFBPrlqlCTllTpgeydO3XMcJkDxQoF41fTV
eW59FC3sqnqAU9TKXwoleVESnaB+LUpYr0SxsA2ByCmhzKfB+1kq8QxkkvdsKkGtWqS1RWUbF8Wt
wmQN4UwJcUYah9emEudwT1q7dlHsEiXeOUrGiyuo8+Gi7RVK5hucJL2aOlneuEoE7JQcSDF19iVP
ezRCru/5/bAohzj+UBELLcYVICttFQLLcQ+BEhxRu9AemdGMp1AJkvhOKCrwvOBYKLlyUMKlVpnT
uWkjUzs6i7JJ1FpBiJXgafge2uew6KCGkkSjUZtm4ueopf//36B/O3Y5B//p2G2b6F8tDn766t9O
Xlb+mLKpycYwy7KAo+37yQvq3OYajU+Kd6hDxJYz+beTF3sV1nCHOzY0k+88jN9OXgOzuWT5y9Xb
ZTcMEONX7tHqsv7nezTDKosNsmx8F9Am1T37p9VB6eJscIhXNx4ULbJJ6KnO7CKtqqb3cpFbe6W8
kprE/Zcsgqw9S21DEowTD+BD/MbjrHmbwg2NZGMtom6t9F2nG9x3R2m+/iL/posUXJfB6O91uAY3
JXvF6zDmJbyi8CYBFc5TPqjn3VNPPg5Ba1XDC76OzLkD6MJLwl7eF9SL8e5wUv7NVnNjFde+ermY
eeCeYqxCDApYIjr1EkIMl3dUoA0PgUU1howT6ifHGuVKvcAi9Soz1UvN4e3+FAhedOHyzmvV689V
L8IkB3u2YmFo3MrlTdmql2YaVDiAalT3bdOamrXuljdsiyR6pavXLj/V4DSqV7HpTtN5VK/nFDfP
tTSk8Qz9MN21Gi32XLang69e7V07aq9x5SffYt0wv+o4VKwdeTLvtWV+uUVrlXSWlvPzsJwbXe9x
hhTqOGmpLzkIdcSMzVy9+Mu5Y7S4li485QYWizE4Vh7hWbmFPSpuv5SLhdiniloZkXEWZzFCfbvY
jSPTJHiKBTmj6xUzshIZRDO5Ccr24N33eT7zRcrIDJ0Jrpu7+JutKu7jbaFszxmmpqtCag11ZMoQ
bShvdLzYpNvFMk11jfkSKx81oRjv3VDe6kG5rHPTphBtsV7P0gs/ZuXHlkkHPIBolaQWid5Q9Fb2
0GTXWJg84UHE1G0of3cOke7NnblE2GlTtN1apIVNQKkb2KHmgzYcxhDJYzUNoPQ2Oe2uIRmjaY42
gjb169nxNGWubnWL6qA8m7YVEom/mcdW94/ZBA6lX5EBEwVauZ76L+4U9tOTE+kmabkUJ9PWmdux
p7bPpKg2nJve/xo58Ai3s9GXH65q6zPbHquSavCbljK/UVLhCxVzPjnw1DugUTW0uhFbr7mxl0JA
XXUDtnyeWFsL59VdqgP9Ho4VuaKJSkFPqnrBObGCK8QycRN0yPcngAztQWKmvxSqnVAsRYUay3ax
Bozb3RbtQNITI++mzMNuPeZqIZ/SeDgJvfzmabr31i2FiIXqRqRCPXwB5JV7DBDSuwnKLr5KOFrI
H6tqRU2jZZGl/dxsuzzdQCmDzugvfYwOZt31mKmaxtFsnHIvIQ2yKaLIEUAMlY6RanfEFtJ+CZbK
x6HMBN30qgkSXVdnV8YaMVyWNGkczA2aNLsbgyrnvaX2OaXd9fnBW9Y8tdr4sB4h1rasgTq1EQrV
bujf52jjHf8PR1sR/D15XkGRvp9rdHiw1FaMeNhMiAjqSvf9XLM/CdNgGS5Ni/03QjAn3o9zTX7C
Q4QvybalZdBcav2cjqYQlQslN1SW7Ab/2K+daxzXP59rOIYV049vAew8RCdXrcx/OtcqfwbgAKtt
Qs+xn4ZuMPdxGcX7LMATuy3c2O+PPOHzVeq1GH54jKaTqY3hRicqcJH27nikbp2WZ7Bi2BdFPACM
jINjpphuZm8Ur5Xl23uwxBoexoq/SWtk3K2qRC/Kna4JPuFOHtc39uQUlASDljNKrYHoolE/ahVz
h6HTNygW62F/UorhNNKFdSyQ7XCm7TLO/od6BhQPdKLYN4M72BdeqlXHmojucxPXISSfepAnObQ0
gvVZQemOFTNqbxsCwneRrO1uyz0ipNMxGlJ7nZK1eOIs0VWMRSZnrZn74L4AkGGd3Tyy2cKGie1v
tKEaxh1NSkGxF46ZXuiJZyNXh9ZUbqRZBvGLbk0Q4f3Q0LQM5mFaGfu8mnIWoRFk/12gIt1Rpkev
Gm1+LbA10FWkmxKI9Qa5q28mlrNrp/d1B7MzgWX6iIRq4OrqEJdYHvdnUc4WoBtS6hf4jp19Fur9
DQQNc62MZ6vMhxe4tfKpv0lEEZ1idxBUQs/jWYP0ALHMtQ8DbMKjnAr7G6bk+GBRKHVrzAKHZFPn
OpifPtwmUj+EOJv3CQh/bQeJz68PbmroV2lfuMZa85Ppjk2XjElzpC3cOMMprlJAq+JzIjX/Swv6
t97xsvZdLuIp0Ju85d8Isa034caGmS8pcBnJ1ZiVaNZO38zZKRwm7ZU8VfsFWY11gK82A5PaEYzL
ugAQBauDcVkjgPZhpaCp7UK1LBp05omTD6eW9YOTBGoVgUyxSlJ4s/RxqXWFqTYXg9phwPEHYpir
zYaxLDk44ZgjgilzP3ge0/vSy1k/jKnNRzdvtFzZ83KS0lkJPgvNHlOBkGTALa2XL6GeDV9iDAJY
oFBRH+rG0vDO6+4t2f/kiiY3sIaq+wBfXL83qFwor+p0Su5aUXFVTFoRfTQi6b+1gV3eNnMB9wuL
RUdez5jv+ASLkzfQrq2zxTg4hhaCcBE1wY/OgnTpW5SnVlW8Ca1KBxBmU1OCSHWN31A7RHwKt/qQ
pWwJ9LFkGRC9jxk9BGqXz98Sgw7XC/G1r4TWAM2mZnBjLkV+uur0y2dzeKUKkGocmLKU/hlLAaCt
ugCpVanGddK0zUWttx5tAZHvXPhx2Z3apUywVb2CrdWa/H5V2yCC2lYbunHfL1WEIF+8vSXG4Mzp
RlVhJlVt4aAaDOMkzpLrrlfFhqnqOPS/1x22rfUZZlvo7X1P+BdcRqAoer1WUxdoxO09/F7vPlha
FHX6FGe9cWa8Z6pmUarGxUJ1L7oiTf99mCCK6vr3p97u/dt7/ZL+t/ULbyj+8+G9rqO2qKd/Yf1V
/0+/HYKuiXuCQ4vbG3Qk5/fojPPJ5W6GsYpFJccht7vfD0HvE6XgjoXgis75Q4v9cbmTnyzbVXAk
lqQmppZfMu+q7tW/HIHq+shqlMNYR+Pl2/75COxL2wq8ON/WqAK0EUejA9G7El63ko3Rx7ugYjm/
5xB3Wzr8hPZNInr661FPoNtOk2+/ugRbcWHmrcQsGUbTI/lYCtYM2+0uO88u20NXaZN+S5isAZxL
gj1cjV3bg8RN9at6cQCIMQ2fzMCZTp0yBwAzLAi2jdZ7PsyU3YVR7JqrsA2sR8QS54aXrqx3s2F+
6HK67ELToWJOdkCc8BJMsJuH0ZgSALIwcm783knij14DIXuyfCCgNXocC6f4PxF+///azS744P79
w3H5EhTN3yfk+drvj4P1SQDjwjLAx15ltdzfZ0I8AzqZdD7YNooFyugfWofziX9cLRlYUADZsVQP
24/HwWFrgf9A2TiVz8Cgb+MXtA6H4fLPzwMxe0ZVqcQWQYXwX0bCVitxwHF3rGy9DNYO09oV9S0a
KS9BOnNb2oM8Qv69FISIqQlNJZEWLrnTllnWA/Qx6+fEY48JU6bb9fA7Ec59L+jg63phCiXHYbKi
QYCaMExtuL+BMOf+Stqhmd0NOumkO+Fr0QBEYwSmFccDYxtk4CuAniMPDl7ScZvls3LSYyGnX91r
mC9qEkNeUDPZGM5w73WS0qQ8IrG2NWkvmVZpVSVwVIaeVWk6UvDYNVlBJyoV4iwAE2xQAKuEc20B
BcQRpBff6DPT3DVuo6nfJIUed8c8ctIPr65OXRlP4pLS9mZ6aLjr59dVgLt0O2H9nDc6Bke5zuoq
c85hUzriPPdy7Na65rDcKNng1J9ht8fZ3g4CZzj/+1y5kN3+/vk6vzRYcv4JQsGX/yYnshNUoiGa
IveapZ3mNznRg7bHvYcQB7u8ZVv349rF9g+JnVJiqbQ+DqTfnzD3EyYag1MIFp/NrY2H7xeeMEOF
Vf78iLEFgGEjhIkNCJ+pOpJ+unVFZtRqTmptMcQ3a0gv4rUz4vxxsKP6puwa77IIKkwjprTQ1XsN
v8l6KpqRagN9ikwewRjKk1ZZmDoT4m5QYyi+p4/XcPz5Ugwsr44wQPGVURzi6heOlwafu9rJj/+X
vDNrblvLrvBfSeUdLszDQ1LVBEmRmidbll9Qmox5nvHr8x1IsiVP1768lajS7Id0RxYpgsQ5++y9
1resAmzzxq5Tk3yJngbgtnMayznIchFBkcxxFJll0TfXNC/CoFhKDRMrwitaf7I/TcyGcD/rBeEW
c84F2UxIc5scQY8bjWGdLlAdSLY7RRbtLYnja70lnio8b/IY9NXAjgi+R6j0mZ4Psgtezl9VQsUf
CD1/hjz6BncNIn9P6P0HofxPC9V/MGY7QDLiDOiwg147xaBdV5XHKCqwm2Oe3kjQtgpXAZxgHAZy
0IQnqbAdICjtV43WKceK0dbHvUpCsWbn6h5gInPBmcc/oLvooYIlAPcod9oc6WRYARxNpYJ/0SoV
JwGSLFZGkPTHelNk1mqcSFM7sBijlBzslOCYMUd1a83WiYCg1h5OE46KfDZXEPmtHg7CcWGyK6cL
1QF0t4prcLF7QczJciFlo/3Jl/PqkvNbme6Fs1rPnpV71aziqyEHfgbASAA4llQyZr2w7v3lMOv/
UIEl7aYY2zJac+LQMjeaRYMK1z9fBmw6zhJ+BM63VkgM9UlDBVs3rb+i72MVKfp2UZ+YVauGBxbN
y65hzS7xx5RKZ9wWg++H76UwMAgsZlWGjaZ75BgtNEtvjz2AZ6R+kWWJOH4+pTLN5cSqiMMrIUrp
PXE5o+SW8+m2siJOuoE49OqTJeODyVWO8fOpOLYY+O21tMj4Msc2OhUXLlsY3QQxNqHlNJ+vBzVi
WORlDrMpkoGdM77RkX3cqa3Un1oN8bYHXlN2yoXUWU69LhQn+vjvs8D+sro/Dv0f5dU+D2te1PPC
q4HVXRxNbTKpvxQw2jvDMsW6K7h9lgZi50s9LwjlWC9ApAIIo1wRpf6Xep7psAzhhwYZ/02sh3+w
vOqyqNhfiR5Z9GUyydBk8n+wjrxeXruReYXEwjIYMq2LZpCPBq+NYtcQrQ3fbqONNbc7CAvfaqj2
Nv5EM8SvvOE4axztMhKtEr92utOUmMR8FYlWii6aKi3tj9NONFpM5E37hignFomkj/Z45MxV9igK
bqksQ2baZZW1tuoyLkYPPDU6cstCyISrWTFcC/EwcRToiG2FIQzrj5NASo4stMZ2aCpH3qxArmY1
cqIaLcpx3vTCEHLlNG29Nccjb2UaWNvRRMbXlG0SFom6aE+BlY13jIgGaKSOFJwQtJu+V2Z1NDN/
lNLVrJqWuaxXJYY/EleFqlqeFdZjpwNjmXXXPd7oGzXRg24ZzsJsHaF4LsXNadMlVrWUWC0XmBfC
007ouy2PPDY3gL2x8cHSn6ezFBybPLJw2w6QiCM5UC/tCCHThnTvYEuMAZryZtaXq0qM1rwXsnNJ
M1Ggt0KMzodsHor6jMAQX/K23SxeJ8jYPtNTkuMXqByMPWkWu0NSbfRl04/m2TTSpllUszTe0Gjv
j23EdKS0fPuhw2ZzC1cwuKkh1B2Vva7JLrpXxdgbfBPhJsoyFNydTKwt1r4+cMlrQ7PvF3EN6FXI
+Qeh7JcLW7uahNqfKBERm6M15kczV7ADdMIZUMVG7qzZ5RHyW6hn4MLPbgJCv4KbjD92o9hh9UES
1gM/GFB2JipzM5dwTyndtoPnatAcenKIDCLtVUsddGI6LK7rKI2HJiKIhoSKeNRIqsdAvdbxyNes
3L15piNWIY9ON1MCOwc5zTcNbZ7exWASTK4pRi8wMGubraKW6k89Bfewsvoib5cMH6LxEHCmujea
UXyUwAWo9hrHiQO3VWQ+h770cuWyVihuofhH7SrrrGat4wG4kTB5Hsnk3q7StjZ7Zhu6t6760jyU
mXAdxhg7/T2PoctWC1L1gw5k772nG+lJpPJxtH1b2cc9eIeLiXpd4+tChbxwYAFCqyoyicazHNQ8
Qxqn2x4cjbkftCO+BSmnNFpEzaAVC6sjI8kdm3IkQ53rs0cPvsYyMGnNlRqaUCSYGpIPo4DG2vdH
vqOEeqUDTwpLCTxWdlc5RXqXyOV0h3YSUE7o2Oht8xzNcxBPzXEdGBqOgYQbjeRT/FmGeoxOLdj4
aWMeOSikGheLD9wb/Brw+5Kp1sKlpUa00+gyZKHrT1P2mfMAhoaSboG3N4TS5B9ZgIv806yXYQXi
Wuo+OHGh7Zscuk7UDk3WorYigIKNU5qrFFJ5sGa1MC7Dos/uBppihWtb0VhtSF7G+u+DLOiXdDSZ
KSl9pX3sEgrgRc+0b1qS5qXsw5XQokWdez58iZghxcae7PqsRPrUHMQJLPtFrjcj9xezOHIQCfxA
PpU0ED5Ze2iWq2mDAgzrBORdcA+nzB0tx/VwSlE/eW2asQrahXxkG6jCFm3vk/uj5oa83ymtLIwn
TQtfp9XSOwvdaLes894nyY9uqSmvfK0b4MTrsSzhN/UzeZWPLINUDCLaKtcl1CmZcsHUILxQE8xR
C5gMDzjsw3BB17S+VAGjn6l2mdJyt1FVuyUjCH+fLz9001HuKL/NKipBlkyynBDw1Tdg20Njo2Aj
vrIHz/rkMCVz1lUcOgmmXF7JVdoCHZGpx24qG/5mnJXJdNqjrT/rlVEg9VuUc6iYTfLdlo2QNtth
VN1y+aqDQAifU60Nj+1ZDc2VjujkVPEqgkyyjhW5O7S7Xt7Kcq1dK0JUrRI5eWbOSmtbT8JjyVQb
hPkIsUl4QZOdZWirRyHU7mBBnLdCvE1RXsoLq5KNQ/wtqLtlcGa3xpBMB7UQf5OTaRymQhAuJbb5
MREi8V7IxYE4l87am6Xk6iwrz2aJOZxX5ObKLD1n/WGxkloU6VIvxOnEgiNUN4Vm3ec6E2E3FaA1
haQ9EOp2oNNMg0dmtOLbovbJntK13bol3560cKGQH2exfDIL55NZRG/OgvqW6ygz90Fn3+oEb9Ch
Q31vz0L8WkGTT4MBeT7HOaT63Szbd2YJP+JE70yehf3mrPEXav94Fv6HwgNgE/ugbaSUoX3ERD5B
jI9fABf+8BkqGyYC2N3TgTpbC/rCw2YAyx9QN/+V8YU5jzJ0f1TSg3iec5Ri5IGOgOmHNU9CPDEU
ief5CINripB5ahLNExQ4Ge1exFTl/39pijzHsgTp4ecn/xMAZt831r784nNbTYCWiPCm6jRsPDeU
fY9nfgS6dHaZQ+r2I2zpa1VK5pqh0jhj3GpAgxB+m+eqFGsPwAkB7kdfxIgUeNMfVKVE376uSunP
yQrsONnQRcfbML/pq6X90AVqFYMnU8rzsLSg6Uh5GyxzU7LfW5Gjk7vo3SH2pnWc5CF68NGu9KPa
xiq6GHxJUV006bW8aBTjcxcqxcM0ORDhjHDwKACk2MsZlY6AmCJ1Owq/F+xUvR0PJYy1zkFhGhUj
I43uM+Eusn6NWDjulw5pHd46TBBkbuqqYmeqRpG3GqOSBjmr24wBiWdxoPwY9AAjo2cFVD2bA3+O
NLdaNgincTcqdn1H/TZ+TrOmvai59QkJk2L5wgkaYigRjPoHGP0zAqgaQcqox64s9rnD2DgILQjD
Ta/1MrbMUOgiosLUq8MQvB+iZL1SlkahjRdBBJjN7WH5H+m1ZSaLyCqp0MiCBrdBCzIQsprxpEyc
etmW44j+xVDL6Mwfyq6hhxj5V1Oo+Wea3xuf8qbSLDa3djpltsYm2IwKhHgdBOg9TcHmoxkHtCka
XbmtZbXD1VngiSK12gIoHDoN1dHEUQjUgcVhGrh4sF/nBKDvDb2uylAMs/g9wpZaXSEwUT61duXE
62iUQAEiQTqnPTNcqF5Wf/CcOmg2aIkAHcOiLshdtCkWXTOkDEd5nJF2o7WopRZYu4FgGGCleP4B
bQ96asxRFMAy9YPRWheofQD06nGrTgc4DSbCM4EJDYwBxoztXGHWqvcJNoqR9gSZRL0UoQjp88Jy
4ywia3YK0aQtmOwGuEWGCtFyDnxcPaCjO4oAFXxhK8PvzOOU4f5llCsArEoUrcqiHDLFWDGxtwNW
eLRQS0ZuAV8kR8ZNY7TOSVSMWev6PQqpZR8x3EVx6vR3nTQlCvq0IH+QDYU6tzH1gPgj0YdNRUe2
b9H+LvPAplHLd4em7QDuoaW4lVsxwAQSTJONFq9ldWa7MoqWL+RkpcNF0CrDMa4SWsN45etrc+iy
/WRuHUMss2gjzy3liPCmIwmSvDvNLWd1bj93cyuanFTa0nx4tKj7ZoCYLKUjvIpibmMHc0t7YvDY
YkMXrW5ddL0j0f8uzVw+9rXa2egJBElQ5XTK1blp7tA+z0UfHYMrLXXOh9xahui0F8bcdA81o0Kv
JDvlkpmQ9VA61JYKeuv9EdNgu/q32DXoMLCG/mLXGH/g+WDTePy9500Dbg9TFboWmkxj2GQf+rJp
AKWgUUwrgV1DUWgHf2kUw4XQWADxaT5qUr9sGhagC/oYbEL8HtLTP8QVC4zyN60MomGELodxEKW5
LXSpLzrFOTlERqVClSud+GhCQI0hXsUkjuc/Mc+6yvLAg+HRcuMSG5cpN+FnpyRFWqJaXzeGSj+Q
WxaBNNaxOuwrN6stlGKe4h1aLe1VuGJ+My2H3oIMjgepgouQk5ysoIffTLZdXxoYLD47gj+ewQvA
TFYlV3qspRtou3SYQ0eP9pUGkkDc+cYp0NQkdXWjmPYK28vWjuxbq0iQ0zXBUM9rGkOcCyoY643A
rWexpZ+g3aBP0QBRfF81JSpTyW5v47o/g87ney7pJCaxUJDOF/YYpRdyL3VEzQR6rQBZMsvPfinn
uAiRcsdWHFmLNA28aRVFbGeryHM4sOrm2BTLcLJNF1wGFHuHRaBwixJu6YIw9vyaRDJ9Y9DCDunn
AsvPiD8+44b2PnSmMxEXY7eQZGfjVzSbwGrhB0uEM2yYTWLTbBhzZvNY++gkg3yOrSxXqTPdqSw8
oR4c43hVpmzfVLN6DB4Zb1pOyuJdaY6c/AfhXfPRmWubtCOj9EqbPW7V7HfTZ+8bWgoW8GIoLWDz
xL9FC/pgBcbdsFYd6HeRLJPKFmr9dK9EbdIeSXFXgLmerXemcOGhMI4PJCnJiAljBXP29UJhbzRy
TU02Y6p5C3NsG3NpwMeFIRsNEPsGfTwo8zq5zi1UT31p50szk5OHsei7bdRnyoHW5p4rSc2ZZtO6
Iaaq2J8mO/5ocddtlYiDIuSlVr1uiewz1qXf44WQaBXB9O/UFWJdn6Zz5w0r7kb/nrzjcEnjTdln
+YfnRGM5Zu/yCcOqAw4+Y4BUbBq7EF52W2yH0FFISjDyh85o2IHkrlGPsBY6rKJ5f6qwCWxj1uxt
11aW245DsOnjpluNfqOtcM8TukzvaluQOYA0abDs60zrzvpQOlLIp42AYFqYgqf4IIABvJHk0dhH
7roxexr5UOzykzHoK+hdxSbqE+kkgbvv99INLR7co2O0JzOO+gCM+CzH+gTXyFTfB5pOBGwhVyvo
TMNl3Il9Hk4cMnMfg62Gq3aM2W2lsBvWozld27JNUyqr73V/UG+lptnMf5WUEZOAeB4YZzQa694Z
THKRig/iHwRNfxZJyjX7U7gItaRdm6xxa4+wIqBcerRnYZ7c77XssPeN6ry0an+jG6a5VuxRXqpl
edYxHiUIgja9gG4c4fOZCK2Pj6GIHidqGazzsLvPNMgSXq5rW7C3x22IEWphkJamN0CZjanHF10S
Q3FgD0nC4CLsDmyFm18pUf9pcGFujCpVrjPs6WfcGfW9maqDOwTlpk1kj4C2Rn0wy2la9fRtz5tC
JmIgCryTHADvhkrjAqyat0ENay9Zx6/qeIrOqMhQTYzyB9Xrjgx52FjiCXySuGnNMRrOAxCl+uhr
H6qM6segVyj+RxNlxwOExP2srchu0Rp5laqyudGCktxaCeVipsQ2DQv9WmocbzmoNAoDy7uvYMVg
EEuOGzEY0SUvOcA4N75H+2IxzHJIGUTJgRRNPsMLFi7STvbXkWLdj8J6o4WhdpmWrXSe1k6yVNsa
erdmXWe1Z7d7aPv5+AzNJ/vIKzddAiuFuKtPZukQIkNV6qZ4vOlw+MdRp59GnPb3ME2reNzGkkBm
IYH2jMnY94auXFUpYsrB/4Rcea1MKLmqKRh0zN+D6Ya1US9RSJKIoUtno5L0YF37AV1+H1xqKXWP
GuvTfoaCJVuwQio0oTILHZwhu75Td0vsUuYi0as4W/z/r1GeBie4Pn9RpZyH3UP1c9mI+OXHUsV6
J/iGnGLh08yowy/nWwQgjk2SnI0TFsUwJc6XUsVASiwza3EwtsJGRFf8pVRBhkKTHJsr51+cNwKp
+CfnW/W7qQtkEfiLTNQtler526nLoGUjxVTiEkEkX7A1NO/TLLSPNISQ7xMLs9eiU+VB3haWT9M+
o58O2aCT5Csfji+EnnCEvtkkVb2NfLBQLnseOL8BAv2l6BrvqwPjVbeIe78/cXKDcw/jAfaMvguL
OzppqrlWO9vG49UawyfOQcNFoxu6Jw52cgADOSdzs8R8QOdR15eyHeQGLJW4IMnNKMgXwfvfHw2l
Oob7gyRNtKs0oaLnu6/T5+R06radhYRx1MOGvndsBFDLoXqNq8CJwo9eZGo3tMRSmWgdubNda6Tv
sQ5UNSW8hiGs7ZKobOoA0iOYNGHmte+joSKXsukltVgAkZX9rREljVsS4Swtstpv5TVyoZGbtku7
w8SnfbXA5QuMH06Yd6MyuSH/W+3ZsoOeekfkp0rnrdm2t2WRxXR9dU9Rjx2/rNmZzDhrF3zHmtOw
96CGYQWlZ64ZgXeEkjLL9voWVuFiIHPqsIe9ny9UIBU0xsbYQghDxDTRFTF9ewDpWF/dzlADYGCE
WG6IbzERMHNAOsQXMd0hhhurVe6lpbnw9GIyP45h74wLrSubYy3o2vdVpNb0c6HkEgnU9rFxntNM
3suQlU4rXLees4i7tHgI48LCEVFzql54TBfiPdksIxw1smowR4afhJ64c71KLj4HjddRnOratdFO
IZbCAiUebj6tlwB0OcNVpjh2yyIFQPLfaH1iIfn5KeqCcr/5wUHqeXHjlx/XJ4x66Ga4gAaaTmoR
gwHv41FKf0fJZrDSMPiFUs5s+Mv6BCEd0A2AGgQ3YnUSfcCvFj5+RxyzLItoa8ytf7I+YQv89igl
vPkOpn7+QjSoxjf9N0syCod4sRWWnZ5GRR9nGzrJhwCghqucEcwBfLP8JusD6Q4WV3bIux1vezRt
xy3aILcKyCOz+iSuwV7EymVVK/a+F1KkmEFqfBadfuTfRqmc0D3BUmU13j7JVMaBn3cjlm3TQDbf
jdcSQW6rJNLUTyXsCVAu3XHeqYkr2UQbLdOWO3IENXQQIbK+b025ptE2xf55CPLF3vdzL/CXRll7
p5Wa+yRBymG+6mnX6AtrGPrIteTBPugpI/plbRQS45Nc9Xy3YVaZw1/xY2qB0kTA0+aVzlTIVtrF
NA2Kfej0E3gQzcyA/JSpjJs2cuT4qlWsvNsLm8kUDaBUPvXU3hvcnKI1c+VKCZk5e2bzARZzW+2P
PsehJWZpm2ZhFXeXdgwZYVEpiXVRRfCJ0SR5ERsCM+W1XSfWveRNjcMIo1bataRO6tlY+giAYp9p
1Aot8RCsM2kYCcEitPKy0bycIMzcMA8qrwWu0atpBo0v8oDR+DrDJ7qCoffAtKS51O1uLSF5X9h9
Ep0nUggDewysNF121iRfdqOXnVjSpDduDrX0Mhj8jGwXS0lXOUD309JLm324jCRkZamjjauKkROY
FH06HPraOeoklIiTXoL8Iyj0JCdvplkFqkN5F0tB+2A6Ya0deXKVfe7aoT4P8H867iCFXrzXOUmn
I5uhWVlm68owOvkBgaJZLSSbkMM93fLgCpBsyOFiVSllNBxPE1ibwzqtlWjNXhXAG1OLKHVTIy4m
CHu1CVKfxJHqqNSiauI94GglNRmw9cKPyTVcZgpnR/rHyUT7NkAolR9gvGgH2sAT0nkiNvJxGQyD
V2/zqjXqbddr8GtIBFOn97bcE87SdeWlgTxNQQyZylc1hpL8htST2OSESWd7aZemca6rNRS/oMR+
qlbNeNSVMlIrCIab3qlFd06KcXGoia8ZiwHod0z6zSCrh1FaD5shbbIjpTKtLUJmay9iJrrXgzz7
WFutVS8EXPmjNHrxx9h3mMT1TcyUFOQKCB9JbdFyRuYhSdbBiSEVyDMgBNchaCp14EBpeGFO2F9h
0joIqprvVBBvcTVqy8YLIKyTNcpMkCGOuWLCT3hM449BTeBaYyydYNQ3Qw2KZzEEtX4BXkDZp4rR
7jkrTCdQ0yeV1A4iUgu+y/eV14C3AvRS2Vy2wAuZBqoIYBtPy/0V40MBzdFbygRWTfakUmYmbqXm
FvCvsd8RbSIIuqa+F+te+BEcfDzuO1rLXtcZcn0+6jk1gga+yVnY5JOc9FaSP/zbFN0C/vrzTe0k
u//5liZ+9XlLY/rD0VlU1ja8FY2a93lLY6+yUGqbCg5zdq+vxgXEooaMjNRmp6OoA732ZUsz2OwY
UdG4pYjnH6An/4OSm6r+ZW9QxY5u2ioVP+xcdkn5mw1NqnVOgYA/26ZJ9istGjaa6BUHuAZJwOKP
MBZe32FXfXGlTh91VP+BOuQ0D7Om/q//ROP17QvbMg54RjrCfUFvks7oy6ZkZthKhZHJVSwk0sA1
SlwIgW6Gx0mEr/woCKdJosnnV2ejWeIjy/yyUlYNzbKzyUfQsYDwf1FJsn41qnIe4KjKxg9YjULb
jXs5ukH108CSyZWAHMO8y+5jqeynZRh1qbfwaiWnPrcRdLQmY4llNfasmgzFQNg1YVdANPtgxJ2s
wgsn5hOmplNJhw1o0nrhBwmDXdPIsysJ5MZnuwc+uSRU66MO1mRPQzaWL/xRJ6ZU6WTgOalPM3EZ
cCKGfIbos6EEmMzStXu5JmxMF+JNG64YYcolpbOZF0Qg91yADxTiw7mKOGVYBlNLpxUuqjS5GcD2
0c1sgggAqlTIwzJfVKSjcs1vdChFxBRmGu3DHJTZpgjATxapFR+UXajnbtwp4dXYKuOp3hbWR/p/
wy0sT6z3mopDZG12fhXuGa2q7FlQzeCwlqRmSsFQxgsvSzvYFzV0GMcu9FNiRyxivgwiYxdqVBOW
KLdeclFbWtsskcFZRcv1rstBgsUKY5MOcEs4zEZCOKVtYGYN+TFyX9FhGBVJXgt2/BCmcbZiswwn
1FJA4notIv6IODi/QMxkR5chg7tmxWAHqipweeZuzGc02m9Tdeil4yhUpWYI5NYL4sgNZQN6vhaQ
OrNSRXm/pzWOfhvmqbKVLKXzXDObZF3A8SxlIV/auVU62MsQZ8R+zQSznKeZdomUyw2broE6o3m2
tyZ+K+qXbPX6tY11F7P0PB/15llpJbf9eDiWEjNUddS2NHGY4swT1iRrHQ35r5i84h4rHlqmsdJU
Mpd1lJgZbTPPa0tABkdBrTDFjeeJbs9s1xRD3t4e7feSDHE2A64/AkPOwvNEh5JfD3WCy23gdke1
F3b2xUDyU8TfAQYN7t7QJtt/m/Vd/2VTZfGQtQ/fKwaezizidx8XeIcFWRi/aFzgFBCYzOcFnm6L
GBoK2gcdFN0UiZRP4x9yLFnhBGBWgDUfndtfrDg6Jx0wISirmVqLM9AfLPBkRH230uoyyCCmTEi4
0SCILeDF+KeL2rgiPBqxTpuv6i6KjrowLBo37arwAFwn8ThIvz9pjQRbUGtaO19JviZpawexSy1Q
h8FdTfZR6SqNkxaHAebi88bP6quB/QTgdVb49aVVG86NnKFYdC1HihRmQEPkbekG2MSXaUxt131K
Hht0BR9cQZSFcrdfRFnqAzSg9e8v086YaI1WcdJeAnXKtc/a0Lecc/K2XgFsajcNuiHjAE1eDNTP
8aDnCSdCN5sShD0hmJ0Ko455mmXb69UtVj3cDPqjtSGZfQ5+heUBtVIy7NUSaoqVxtxCWfm5jvZU
682xO0oYcJUursIpojD2BmSDgL9kt4u5uz7Zsz68n7XigCPRjWeyH+R7JflHwTZNkmRDIKeU7Xn9
bO6ejd7mbPpWpLTWtmwQ5N46OANWnAR9zY1iMpBIMmAlWcbCOR4aAORpt6jJxz6T+2RZgnB3x7Ck
kLaR3J37Hu9shcJQHpfWbEqP8sla4TcuII4L1/qAvX2bmhpgKa9gHW+MB6LlSJTyolSxFpFtxAwt
JIMSOiJpA9uuFIQXTehIn7UOwzsTFbljR/BAyyD2K/j0deT9oQR6dOU02qSddHVtbFQYIaRvxuVW
obV0qmJ9WptwuCpiRjRldDUFr3ec+85hOujSuKy9IAK2mfmcYpvUH5YtC9Z5naTDh7aW5POKwdRt
o3rhPYUFqacAR/QPJOxZsI/5yqxDMrcoUz2os7gW3aQaq7USKeatgyrv0MtQVjLdVNiRA8ZbEUCs
ONhjVzkDx5RvfKQOLrl7740KdpijNL47KGmyqozIP2cs431WnFLj4KBc9WVzF8tlsjGUKvhACBIT
0MYsVr1ILY8MI9/KdaWvcW0q2ygPbmKYqChVR2kzVeqxzAjzlLHmuGStvnMiM7kQL0sW4V3hK0dk
kfnLCC/puira8FBKg3uvMu7KNHnPeSPeVmY6LW0yoatCCTgaJhD9jT7iUB01k3+QTOpY7hXDNHya
mErtabWXpit5KlUk1ba3jQg2vKIwgNSVRmyintWcoEaLDmPfTDZZbR9ZSWZUi064ZNRC2Tij3a2y
upX2dHUkPdpKyuoqYobmL8ygFkHMRuuGpi8vI1sfYMlJXMYkeJ8WkbTUSoU72pni+KyviTsZSCBY
1ZOPfwV7CT19Io+kVPMPk1Tn16DUnLRBdUXHNlxUTFzdMu5CjHymLX1E1UCEkWocaXT61rXdDy5x
6fkH3yqStVTGa1z3XuG+nS1MxCr9LByJlKWvP51L5cv8uwSl3/pHv36iP0pbEj2tV4ee+Q+b855+
9TykMIVNe0+ck07WMq5rDZna44MDT5Jn/tOPoZnoCp01drjHB5sir/fiOv3sSvz6TX4fRvX987x6
A3c5TB0RYuWDcmcz/5raaNFb/J1L8M0zfL0EDjRPOpXMSp4uAU/46hKId467+vnHVAz/J5fgr5K3
DD6637kQ3zzPywuB4GLumT592BzzXlwIRSVcizpH+HUeH2/0QogUmp0uhPnOMBifAXN/+kbwhC8u
hPUOeABoVuX5Ovxf3RTffJIvbgqsByByYeDtdiEMuAs6GlsuxuPj2wthiC4/7f2nH/OFeVu3Bn0X
WRGDyR2/D8w3NVhOQjgmHjzhi++DiaQYG5vOuO7x8eZWCFZvSMa77hUsAKyCxiyZfvH2ReYtGjjE
dGjn5sdb+xY8nwJ/c6f45rb6ukCa72j7mRjJn9eF1wuk/Y5rIKBfzz9+/N7972+W37yB79YFnd7l
TjcEmGvWF5qBurjBeLyuGvgxGgOGb+rjAvQGr8Djkv1NQfdHdRPKDIEZhSEzPziov7gniD8DRspe
+rxwvrkl4fme2HVtNAhzo19C+NvTheDKvroQisXKSLPl8Ysiv9ULwbB5x3tCJbzOwo2i8hZfXQEG
CtQLYqowPx77WG/wnnj8aP7+PQGxhigbwIfP+8Dre8J4x8hNkGyw3cyPx3r1DV6IXb8KDIRErTB/
G+Z3+vobYeAzIqZWfVo759XzbZVNz4vDzhXDnMcr01T9ZoNQSFFCnWaKvIU3+da1XbdI1kWawUhn
efPz43XNiG0AM4H5dGZ7e/eAkA3uViJwWoQwilzj9ZnBeWcgZ5yxO4/X5a0entRdvwEMFOAGiUnC
0zeAJ3yxL+jv4GlgKoGc8fh4c9UiUw3kU7teBopBJueGBuzv1funtYQKVVXFyOXx8VaXgscN++/v
i4BQ0BLYIH9ffwNsJk4mp0a0s4+PN3d8ftoHvqPg/WmXkYYKIkBZQzrx9Hj1VRAQGYuqAAzd4+Ot
rgkiBGjXVRHto4yS5GsN9GJNIHRIBWDztZh+q7WiwPzsdiEUmmgYhS2B+hSP1wUCAlLZovf0XEkK
gfvbrBN2LZqpFVHWcExE5z8/XteK1NQ2/zGtN7c7PK8Nj0f8v786wnaFCkd8wot94MUtYb9ThUhY
0D8eH292bXgsZf/+hXDeOeABqQderY3GO4pERUaT8LQ2vtU74TvTy59uErqYNZn0TZ4+aNEqePFF
QG1O6hoX4vnnb6639AVPsdPKSDcZNb2QlHzdDF9cBk3cLlQSSIIfH2/xMjwarne6DNz3CuOoGeT5
6u3D2cHe9GYPjt9xTf70NnDeEb2jEQf83CZ5XTYzrYSHSQ7AWy0WhQ1jp0+eeQKzNXwlX1qKr9YB
YjQUGssMbJ/uj7e6M0Ip3+1CME/ARqPxXXh6p6+/CRysLJSRGvaEx5XgD3opv9Fw+CJlcIMwuV+J
gXv4UM8t8sfp/V/+g2cJwPdP8M38/tU/vByLh8enfpxbiP/9368mGrP84MUPn+UI8+s8/frTG/z+
pV+91vO7ev5/bkJg99VdACWFtzs+/ZnHNylKiZNfwyXmXxAv/l//+eqPffEd+OWz/wXwaMenP/ir
bPNdn//mvv1R7NuXFsLXj+vvXR+3yuv6P2br7PcqTzHenOumXV9lkVc/io39Mj7d9fn/ld2ktz8K
mRc1zTyn3vUVPt2kn38YY/9Urosxx66vcZ3fPjw/y/Ze+AVmtYGYe+z61Jf87bc333/Czy/Bkrrr
S/yOvXHHu+F3HN47vsQpU+mHm/bnV4pj0q5X6qT+EYTt+aOgl7XzC/ylKWfHq/QbfONdX+G3EPU7
vshv5Ezs+AoHfxlutusLPNze/iI+7R+4rw9ufiN6dNd38Zep4ju+wH7o/zLv4B+4q7fpL4xw/8BN
TYbY7S+cGIwUd102/jiTaMcPZZW1/s9XWqE23PUdgWpqfn53iFyKnV/hF/ZHEZC08/Pf5tn4i7fw
D9zgy4ek+XlpoHMM3PVN/IaJaMev0uJmfEjqX7yLf+AGX9y0d8EvPop/4B7/V0woy5bAxZ/WH0KY
vuvH8a/7m/RXq6EYnu/8Grfhzz8NoZ/99Qv86Jj5RR7//eHzWfb+o197fbIW/+Iuebip/vt/AAAA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microsoft.com/office/2014/relationships/chartEx" Target="../charts/chartEx3.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476576</xdr:colOff>
      <xdr:row>1</xdr:row>
      <xdr:rowOff>12962</xdr:rowOff>
    </xdr:from>
    <xdr:to>
      <xdr:col>5</xdr:col>
      <xdr:colOff>1047423</xdr:colOff>
      <xdr:row>11</xdr:row>
      <xdr:rowOff>19639</xdr:rowOff>
    </xdr:to>
    <xdr:graphicFrame macro="">
      <xdr:nvGraphicFramePr>
        <xdr:cNvPr id="13" name="Chart 12">
          <a:extLst>
            <a:ext uri="{FF2B5EF4-FFF2-40B4-BE49-F238E27FC236}">
              <a16:creationId xmlns:a16="http://schemas.microsoft.com/office/drawing/2014/main" id="{2C32570C-1BB3-3B87-C14C-77A71AF43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470032</xdr:colOff>
      <xdr:row>11</xdr:row>
      <xdr:rowOff>156983</xdr:rowOff>
    </xdr:from>
    <xdr:to>
      <xdr:col>5</xdr:col>
      <xdr:colOff>1067062</xdr:colOff>
      <xdr:row>23</xdr:row>
      <xdr:rowOff>39280</xdr:rowOff>
    </xdr:to>
    <xdr:graphicFrame macro="">
      <xdr:nvGraphicFramePr>
        <xdr:cNvPr id="14" name="Chart 13">
          <a:extLst>
            <a:ext uri="{FF2B5EF4-FFF2-40B4-BE49-F238E27FC236}">
              <a16:creationId xmlns:a16="http://schemas.microsoft.com/office/drawing/2014/main" id="{42C59E39-0104-5E65-5473-D172784CA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98381</xdr:colOff>
      <xdr:row>39</xdr:row>
      <xdr:rowOff>113048</xdr:rowOff>
    </xdr:from>
    <xdr:to>
      <xdr:col>5</xdr:col>
      <xdr:colOff>1144789</xdr:colOff>
      <xdr:row>61</xdr:row>
      <xdr:rowOff>71549</xdr:rowOff>
    </xdr:to>
    <xdr:graphicFrame macro="">
      <xdr:nvGraphicFramePr>
        <xdr:cNvPr id="15" name="Chart 14">
          <a:extLst>
            <a:ext uri="{FF2B5EF4-FFF2-40B4-BE49-F238E27FC236}">
              <a16:creationId xmlns:a16="http://schemas.microsoft.com/office/drawing/2014/main" id="{1809F288-1AA4-9640-4FD2-624696A08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1205962</xdr:colOff>
      <xdr:row>39</xdr:row>
      <xdr:rowOff>176459</xdr:rowOff>
    </xdr:from>
    <xdr:to>
      <xdr:col>6</xdr:col>
      <xdr:colOff>1109013</xdr:colOff>
      <xdr:row>50</xdr:row>
      <xdr:rowOff>89436</xdr:rowOff>
    </xdr:to>
    <mc:AlternateContent xmlns:mc="http://schemas.openxmlformats.org/markup-compatibility/2006">
      <mc:Choice xmlns:a14="http://schemas.microsoft.com/office/drawing/2010/main" Requires="a14">
        <xdr:graphicFrame macro="">
          <xdr:nvGraphicFramePr>
            <xdr:cNvPr id="16" name="Year 2">
              <a:extLst>
                <a:ext uri="{FF2B5EF4-FFF2-40B4-BE49-F238E27FC236}">
                  <a16:creationId xmlns:a16="http://schemas.microsoft.com/office/drawing/2014/main" id="{0572FFB1-7C92-C378-C4C0-CB0FADE9BD5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064061" y="7501318"/>
              <a:ext cx="1164107" cy="1978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1208198</xdr:colOff>
      <xdr:row>50</xdr:row>
      <xdr:rowOff>160807</xdr:rowOff>
    </xdr:from>
    <xdr:to>
      <xdr:col>6</xdr:col>
      <xdr:colOff>1368379</xdr:colOff>
      <xdr:row>61</xdr:row>
      <xdr:rowOff>134155</xdr:rowOff>
    </xdr:to>
    <mc:AlternateContent xmlns:mc="http://schemas.openxmlformats.org/markup-compatibility/2006">
      <mc:Choice xmlns:a14="http://schemas.microsoft.com/office/drawing/2010/main" Requires="a14">
        <xdr:graphicFrame macro="">
          <xdr:nvGraphicFramePr>
            <xdr:cNvPr id="17" name="Geopolitical Zone 1">
              <a:extLst>
                <a:ext uri="{FF2B5EF4-FFF2-40B4-BE49-F238E27FC236}">
                  <a16:creationId xmlns:a16="http://schemas.microsoft.com/office/drawing/2014/main" id="{624F6CC6-D02D-F0BE-01E8-ED19B96C688E}"/>
                </a:ext>
              </a:extLst>
            </xdr:cNvPr>
            <xdr:cNvGraphicFramePr/>
          </xdr:nvGraphicFramePr>
          <xdr:xfrm>
            <a:off x="0" y="0"/>
            <a:ext cx="0" cy="0"/>
          </xdr:xfrm>
          <a:graphic>
            <a:graphicData uri="http://schemas.microsoft.com/office/drawing/2010/slicer">
              <sle:slicer xmlns:sle="http://schemas.microsoft.com/office/drawing/2010/slicer" name="Geopolitical Zone 1"/>
            </a:graphicData>
          </a:graphic>
        </xdr:graphicFrame>
      </mc:Choice>
      <mc:Fallback>
        <xdr:sp macro="" textlink="">
          <xdr:nvSpPr>
            <xdr:cNvPr id="0" name=""/>
            <xdr:cNvSpPr>
              <a:spLocks noTextEdit="1"/>
            </xdr:cNvSpPr>
          </xdr:nvSpPr>
          <xdr:spPr>
            <a:xfrm>
              <a:off x="7066297" y="9551652"/>
              <a:ext cx="1421237" cy="2039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457200</xdr:colOff>
      <xdr:row>0</xdr:row>
      <xdr:rowOff>177801</xdr:rowOff>
    </xdr:from>
    <xdr:to>
      <xdr:col>12</xdr:col>
      <xdr:colOff>1727200</xdr:colOff>
      <xdr:row>11</xdr:row>
      <xdr:rowOff>152400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4991929D-54D5-03DC-E895-C3D4CF07F46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311919" y="177801"/>
              <a:ext cx="1270000" cy="2015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443073</xdr:colOff>
      <xdr:row>0</xdr:row>
      <xdr:rowOff>0</xdr:rowOff>
    </xdr:from>
    <xdr:to>
      <xdr:col>6</xdr:col>
      <xdr:colOff>655691</xdr:colOff>
      <xdr:row>14</xdr:row>
      <xdr:rowOff>146121</xdr:rowOff>
    </xdr:to>
    <xdr:graphicFrame macro="">
      <xdr:nvGraphicFramePr>
        <xdr:cNvPr id="10" name="Chart 9">
          <a:extLst>
            <a:ext uri="{FF2B5EF4-FFF2-40B4-BE49-F238E27FC236}">
              <a16:creationId xmlns:a16="http://schemas.microsoft.com/office/drawing/2014/main" id="{5DDEF0EE-38CB-9CE8-E8FE-E12703253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922319</xdr:colOff>
      <xdr:row>0</xdr:row>
      <xdr:rowOff>95250</xdr:rowOff>
    </xdr:from>
    <xdr:to>
      <xdr:col>7</xdr:col>
      <xdr:colOff>64213</xdr:colOff>
      <xdr:row>11</xdr:row>
      <xdr:rowOff>92753</xdr:rowOff>
    </xdr:to>
    <mc:AlternateContent xmlns:mc="http://schemas.openxmlformats.org/markup-compatibility/2006">
      <mc:Choice xmlns:a14="http://schemas.microsoft.com/office/drawing/2010/main" Requires="a14">
        <xdr:graphicFrame macro="">
          <xdr:nvGraphicFramePr>
            <xdr:cNvPr id="11" name="Year 3">
              <a:extLst>
                <a:ext uri="{FF2B5EF4-FFF2-40B4-BE49-F238E27FC236}">
                  <a16:creationId xmlns:a16="http://schemas.microsoft.com/office/drawing/2014/main" id="{A8D603C5-9ADE-72DC-4EAD-7A7F15362D5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8121364" y="95250"/>
              <a:ext cx="1417905" cy="2038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557231</xdr:colOff>
      <xdr:row>16</xdr:row>
      <xdr:rowOff>16125</xdr:rowOff>
    </xdr:from>
    <xdr:to>
      <xdr:col>6</xdr:col>
      <xdr:colOff>769849</xdr:colOff>
      <xdr:row>30</xdr:row>
      <xdr:rowOff>162246</xdr:rowOff>
    </xdr:to>
    <xdr:graphicFrame macro="">
      <xdr:nvGraphicFramePr>
        <xdr:cNvPr id="12" name="Chart 11">
          <a:extLst>
            <a:ext uri="{FF2B5EF4-FFF2-40B4-BE49-F238E27FC236}">
              <a16:creationId xmlns:a16="http://schemas.microsoft.com/office/drawing/2014/main" id="{F85E799A-3590-6D48-4C4F-4473C1CAA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1072508</xdr:colOff>
      <xdr:row>17</xdr:row>
      <xdr:rowOff>144</xdr:rowOff>
    </xdr:from>
    <xdr:to>
      <xdr:col>6</xdr:col>
      <xdr:colOff>2268877</xdr:colOff>
      <xdr:row>27</xdr:row>
      <xdr:rowOff>156967</xdr:rowOff>
    </xdr:to>
    <mc:AlternateContent xmlns:mc="http://schemas.openxmlformats.org/markup-compatibility/2006">
      <mc:Choice xmlns:a14="http://schemas.microsoft.com/office/drawing/2010/main" Requires="a14">
        <xdr:graphicFrame macro="">
          <xdr:nvGraphicFramePr>
            <xdr:cNvPr id="13" name="Geopolitical Zone">
              <a:extLst>
                <a:ext uri="{FF2B5EF4-FFF2-40B4-BE49-F238E27FC236}">
                  <a16:creationId xmlns:a16="http://schemas.microsoft.com/office/drawing/2014/main" id="{03626F1F-9A5A-8315-2CD3-37C8715F8043}"/>
                </a:ext>
              </a:extLst>
            </xdr:cNvPr>
            <xdr:cNvGraphicFramePr/>
          </xdr:nvGraphicFramePr>
          <xdr:xfrm>
            <a:off x="0" y="0"/>
            <a:ext cx="0" cy="0"/>
          </xdr:xfrm>
          <a:graphic>
            <a:graphicData uri="http://schemas.microsoft.com/office/drawing/2010/slicer">
              <sle:slicer xmlns:sle="http://schemas.microsoft.com/office/drawing/2010/slicer" name="Geopolitical Zone"/>
            </a:graphicData>
          </a:graphic>
        </xdr:graphicFrame>
      </mc:Choice>
      <mc:Fallback>
        <xdr:sp macro="" textlink="">
          <xdr:nvSpPr>
            <xdr:cNvPr id="0" name=""/>
            <xdr:cNvSpPr>
              <a:spLocks noTextEdit="1"/>
            </xdr:cNvSpPr>
          </xdr:nvSpPr>
          <xdr:spPr>
            <a:xfrm>
              <a:off x="8271553" y="3153740"/>
              <a:ext cx="1196369" cy="2011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282575</xdr:colOff>
      <xdr:row>0</xdr:row>
      <xdr:rowOff>88900</xdr:rowOff>
    </xdr:from>
    <xdr:to>
      <xdr:col>9</xdr:col>
      <xdr:colOff>587375</xdr:colOff>
      <xdr:row>15</xdr:row>
      <xdr:rowOff>69850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4ACA423-D0DF-2192-19BF-494396CEE9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01775" y="88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460375</xdr:colOff>
      <xdr:row>11</xdr:row>
      <xdr:rowOff>95250</xdr:rowOff>
    </xdr:from>
    <xdr:to>
      <xdr:col>18</xdr:col>
      <xdr:colOff>155575</xdr:colOff>
      <xdr:row>26</xdr:row>
      <xdr:rowOff>76200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245E349-41E2-FBC7-7BAE-308339190C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56375" y="2120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330200</xdr:colOff>
      <xdr:row>2</xdr:row>
      <xdr:rowOff>12700</xdr:rowOff>
    </xdr:from>
    <xdr:to>
      <xdr:col>6</xdr:col>
      <xdr:colOff>3019354</xdr:colOff>
      <xdr:row>13</xdr:row>
      <xdr:rowOff>139700</xdr:rowOff>
    </xdr:to>
    <xdr:graphicFrame macro="">
      <xdr:nvGraphicFramePr>
        <xdr:cNvPr id="2" name="Chart 1">
          <a:extLst>
            <a:ext uri="{FF2B5EF4-FFF2-40B4-BE49-F238E27FC236}">
              <a16:creationId xmlns:a16="http://schemas.microsoft.com/office/drawing/2014/main" id="{760DD81E-6F0D-4E77-8C4E-845923051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3479800</xdr:colOff>
      <xdr:row>1</xdr:row>
      <xdr:rowOff>177800</xdr:rowOff>
    </xdr:from>
    <xdr:to>
      <xdr:col>9</xdr:col>
      <xdr:colOff>80087</xdr:colOff>
      <xdr:row>13</xdr:row>
      <xdr:rowOff>104100</xdr:rowOff>
    </xdr:to>
    <xdr:graphicFrame macro="">
      <xdr:nvGraphicFramePr>
        <xdr:cNvPr id="3" name="Chart 2">
          <a:extLst>
            <a:ext uri="{FF2B5EF4-FFF2-40B4-BE49-F238E27FC236}">
              <a16:creationId xmlns:a16="http://schemas.microsoft.com/office/drawing/2014/main" id="{CC16818E-5140-41EB-B73A-56BE24309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15</xdr:row>
      <xdr:rowOff>12700</xdr:rowOff>
    </xdr:from>
    <xdr:to>
      <xdr:col>6</xdr:col>
      <xdr:colOff>3009900</xdr:colOff>
      <xdr:row>30</xdr:row>
      <xdr:rowOff>12700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3E75E95-C734-4F4E-9F5C-67A324E48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42900" y="2813050"/>
              <a:ext cx="382905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3467100</xdr:colOff>
      <xdr:row>15</xdr:row>
      <xdr:rowOff>6350</xdr:rowOff>
    </xdr:from>
    <xdr:to>
      <xdr:col>9</xdr:col>
      <xdr:colOff>127000</xdr:colOff>
      <xdr:row>30</xdr:row>
      <xdr:rowOff>6350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C3AFA8C4-D7C0-404A-A7A9-7242B0DB34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29150" y="2806700"/>
              <a:ext cx="382270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330200</xdr:colOff>
      <xdr:row>34</xdr:row>
      <xdr:rowOff>120650</xdr:rowOff>
    </xdr:from>
    <xdr:to>
      <xdr:col>6</xdr:col>
      <xdr:colOff>2578100</xdr:colOff>
      <xdr:row>49</xdr:row>
      <xdr:rowOff>0</xdr:rowOff>
    </xdr:to>
    <xdr:graphicFrame macro="">
      <xdr:nvGraphicFramePr>
        <xdr:cNvPr id="9" name="Chart 8">
          <a:extLst>
            <a:ext uri="{FF2B5EF4-FFF2-40B4-BE49-F238E27FC236}">
              <a16:creationId xmlns:a16="http://schemas.microsoft.com/office/drawing/2014/main" id="{B0FF4666-98E3-4C31-81C3-FA2C517A9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2692400</xdr:colOff>
      <xdr:row>34</xdr:row>
      <xdr:rowOff>120650</xdr:rowOff>
    </xdr:from>
    <xdr:to>
      <xdr:col>7</xdr:col>
      <xdr:colOff>292100</xdr:colOff>
      <xdr:row>49</xdr:row>
      <xdr:rowOff>19050</xdr:rowOff>
    </xdr:to>
    <xdr:graphicFrame macro="">
      <xdr:nvGraphicFramePr>
        <xdr:cNvPr id="10" name="Chart 9">
          <a:extLst>
            <a:ext uri="{FF2B5EF4-FFF2-40B4-BE49-F238E27FC236}">
              <a16:creationId xmlns:a16="http://schemas.microsoft.com/office/drawing/2014/main" id="{4575C95B-1E74-4235-9EF0-32A56678A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368300</xdr:colOff>
      <xdr:row>30</xdr:row>
      <xdr:rowOff>82550</xdr:rowOff>
    </xdr:from>
    <xdr:to>
      <xdr:col>9</xdr:col>
      <xdr:colOff>567005</xdr:colOff>
      <xdr:row>41</xdr:row>
      <xdr:rowOff>94965</xdr:rowOff>
    </xdr:to>
    <mc:AlternateContent xmlns:mc="http://schemas.openxmlformats.org/markup-compatibility/2006">
      <mc:Choice xmlns:a14="http://schemas.microsoft.com/office/drawing/2010/main" Requires="a14">
        <xdr:graphicFrame macro="">
          <xdr:nvGraphicFramePr>
            <xdr:cNvPr id="11" name="Year 4">
              <a:extLst>
                <a:ext uri="{FF2B5EF4-FFF2-40B4-BE49-F238E27FC236}">
                  <a16:creationId xmlns:a16="http://schemas.microsoft.com/office/drawing/2014/main" id="{1DD7E109-2DEF-483D-A74B-21F33B345DC7}"/>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7473950" y="5645150"/>
              <a:ext cx="1417905" cy="2038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41</xdr:row>
      <xdr:rowOff>177800</xdr:rowOff>
    </xdr:from>
    <xdr:to>
      <xdr:col>9</xdr:col>
      <xdr:colOff>339119</xdr:colOff>
      <xdr:row>52</xdr:row>
      <xdr:rowOff>164029</xdr:rowOff>
    </xdr:to>
    <mc:AlternateContent xmlns:mc="http://schemas.openxmlformats.org/markup-compatibility/2006">
      <mc:Choice xmlns:a14="http://schemas.microsoft.com/office/drawing/2010/main" Requires="a14">
        <xdr:graphicFrame macro="">
          <xdr:nvGraphicFramePr>
            <xdr:cNvPr id="12" name="Geopolitical Zone 2">
              <a:extLst>
                <a:ext uri="{FF2B5EF4-FFF2-40B4-BE49-F238E27FC236}">
                  <a16:creationId xmlns:a16="http://schemas.microsoft.com/office/drawing/2014/main" id="{6602BC5A-54DF-4DB4-B981-3B5132CB78DC}"/>
                </a:ext>
              </a:extLst>
            </xdr:cNvPr>
            <xdr:cNvGraphicFramePr/>
          </xdr:nvGraphicFramePr>
          <xdr:xfrm>
            <a:off x="0" y="0"/>
            <a:ext cx="0" cy="0"/>
          </xdr:xfrm>
          <a:graphic>
            <a:graphicData uri="http://schemas.microsoft.com/office/drawing/2010/slicer">
              <sle:slicer xmlns:sle="http://schemas.microsoft.com/office/drawing/2010/slicer" name="Geopolitical Zone 2"/>
            </a:graphicData>
          </a:graphic>
        </xdr:graphicFrame>
      </mc:Choice>
      <mc:Fallback>
        <xdr:sp macro="" textlink="">
          <xdr:nvSpPr>
            <xdr:cNvPr id="0" name=""/>
            <xdr:cNvSpPr>
              <a:spLocks noTextEdit="1"/>
            </xdr:cNvSpPr>
          </xdr:nvSpPr>
          <xdr:spPr>
            <a:xfrm>
              <a:off x="7467600" y="7766050"/>
              <a:ext cx="1196369" cy="2011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54</xdr:row>
      <xdr:rowOff>107950</xdr:rowOff>
    </xdr:from>
    <xdr:to>
      <xdr:col>9</xdr:col>
      <xdr:colOff>160807</xdr:colOff>
      <xdr:row>76</xdr:row>
      <xdr:rowOff>147123</xdr:rowOff>
    </xdr:to>
    <xdr:graphicFrame macro="">
      <xdr:nvGraphicFramePr>
        <xdr:cNvPr id="13" name="Chart 12">
          <a:extLst>
            <a:ext uri="{FF2B5EF4-FFF2-40B4-BE49-F238E27FC236}">
              <a16:creationId xmlns:a16="http://schemas.microsoft.com/office/drawing/2014/main" id="{3C9C4C51-9122-4D88-9821-A434A908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241300</xdr:colOff>
      <xdr:row>54</xdr:row>
      <xdr:rowOff>82550</xdr:rowOff>
    </xdr:from>
    <xdr:to>
      <xdr:col>6</xdr:col>
      <xdr:colOff>241300</xdr:colOff>
      <xdr:row>65</xdr:row>
      <xdr:rowOff>35863</xdr:rowOff>
    </xdr:to>
    <mc:AlternateContent xmlns:mc="http://schemas.openxmlformats.org/markup-compatibility/2006">
      <mc:Choice xmlns:a14="http://schemas.microsoft.com/office/drawing/2010/main" Requires="a14">
        <xdr:graphicFrame macro="">
          <xdr:nvGraphicFramePr>
            <xdr:cNvPr id="14" name="Year 5">
              <a:extLst>
                <a:ext uri="{FF2B5EF4-FFF2-40B4-BE49-F238E27FC236}">
                  <a16:creationId xmlns:a16="http://schemas.microsoft.com/office/drawing/2014/main" id="{99FCB26B-FA23-4A6E-8C3A-00148AA4E335}"/>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dr:sp macro="" textlink="">
          <xdr:nvSpPr>
            <xdr:cNvPr id="0" name=""/>
            <xdr:cNvSpPr>
              <a:spLocks noTextEdit="1"/>
            </xdr:cNvSpPr>
          </xdr:nvSpPr>
          <xdr:spPr>
            <a:xfrm>
              <a:off x="241300" y="10064750"/>
              <a:ext cx="1162050" cy="1978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65</xdr:row>
      <xdr:rowOff>133350</xdr:rowOff>
    </xdr:from>
    <xdr:to>
      <xdr:col>6</xdr:col>
      <xdr:colOff>354437</xdr:colOff>
      <xdr:row>76</xdr:row>
      <xdr:rowOff>147034</xdr:rowOff>
    </xdr:to>
    <mc:AlternateContent xmlns:mc="http://schemas.openxmlformats.org/markup-compatibility/2006">
      <mc:Choice xmlns:a14="http://schemas.microsoft.com/office/drawing/2010/main" Requires="a14">
        <xdr:graphicFrame macro="">
          <xdr:nvGraphicFramePr>
            <xdr:cNvPr id="15" name="Geopolitical Zone 3">
              <a:extLst>
                <a:ext uri="{FF2B5EF4-FFF2-40B4-BE49-F238E27FC236}">
                  <a16:creationId xmlns:a16="http://schemas.microsoft.com/office/drawing/2014/main" id="{EB682118-B4AF-4DF6-9CDA-3D1DCF2EA30F}"/>
                </a:ext>
              </a:extLst>
            </xdr:cNvPr>
            <xdr:cNvGraphicFramePr/>
          </xdr:nvGraphicFramePr>
          <xdr:xfrm>
            <a:off x="0" y="0"/>
            <a:ext cx="0" cy="0"/>
          </xdr:xfrm>
          <a:graphic>
            <a:graphicData uri="http://schemas.microsoft.com/office/drawing/2010/slicer">
              <sle:slicer xmlns:sle="http://schemas.microsoft.com/office/drawing/2010/slicer" name="Geopolitical Zone 3"/>
            </a:graphicData>
          </a:graphic>
        </xdr:graphicFrame>
      </mc:Choice>
      <mc:Fallback>
        <xdr:sp macro="" textlink="">
          <xdr:nvSpPr>
            <xdr:cNvPr id="0" name=""/>
            <xdr:cNvSpPr>
              <a:spLocks noTextEdit="1"/>
            </xdr:cNvSpPr>
          </xdr:nvSpPr>
          <xdr:spPr>
            <a:xfrm>
              <a:off x="95250" y="12141200"/>
              <a:ext cx="1421237" cy="2039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wner" refreshedDate="45925.352749652775" createdVersion="8" refreshedVersion="8" minRefreshableVersion="3" recordCount="338" xr:uid="{B8105B5D-EB09-4B51-ADE4-44DAFEFA2B60}">
  <cacheSource type="worksheet">
    <worksheetSource ref="A1:H339" sheet="HPAI"/>
  </cacheSource>
  <cacheFields count="8">
    <cacheField name="Year" numFmtId="0">
      <sharedItems containsSemiMixedTypes="0" containsString="0" containsNumber="1" containsInteger="1" minValue="2020" maxValue="2025" count="6">
        <n v="2025"/>
        <n v="2024"/>
        <n v="2023"/>
        <n v="2022"/>
        <n v="2021"/>
        <n v="2020"/>
      </sharedItems>
    </cacheField>
    <cacheField name="Location" numFmtId="0">
      <sharedItems count="32">
        <s v="Kano"/>
        <s v="Delta"/>
        <s v="Kebbi"/>
        <s v="Plateau"/>
        <s v="Ogun"/>
        <s v="Lagos"/>
        <s v="Rivers"/>
        <s v="Imo"/>
        <s v="Bauchi"/>
        <s v="Ekiti"/>
        <s v="Katsina"/>
        <s v="Niger"/>
        <s v="Sokoto"/>
        <s v="Bayelsa"/>
        <s v="Oyo"/>
        <s v="Osun"/>
        <s v="Edo"/>
        <s v="Gombe"/>
        <s v="Kaduna"/>
        <s v="Kogi"/>
        <s v="FCT"/>
        <s v="Zamfara"/>
        <s v="Nasarawa"/>
        <s v="Anambra"/>
        <s v="Ebonyi"/>
        <s v="Abia"/>
        <s v="Jigawa"/>
        <s v="Adamawa"/>
        <s v="Borno"/>
        <s v="Enugu"/>
        <s v="Akwa Ibom"/>
        <s v="Taraba"/>
      </sharedItems>
    </cacheField>
    <cacheField name="Suspected" numFmtId="0">
      <sharedItems containsSemiMixedTypes="0" containsString="0" containsNumber="1" containsInteger="1" minValue="1" maxValue="200000"/>
    </cacheField>
    <cacheField name="Cases" numFmtId="0">
      <sharedItems containsSemiMixedTypes="0" containsString="0" containsNumber="1" containsInteger="1" minValue="0" maxValue="200000"/>
    </cacheField>
    <cacheField name="Death" numFmtId="0">
      <sharedItems containsSemiMixedTypes="0" containsString="0" containsNumber="1" containsInteger="1" minValue="1" maxValue="60504"/>
    </cacheField>
    <cacheField name="Killed and Disposed off" numFmtId="0">
      <sharedItems containsString="0" containsBlank="1" containsNumber="1" containsInteger="1" minValue="1" maxValue="190172"/>
    </cacheField>
    <cacheField name="Geopolitical Zone" numFmtId="0">
      <sharedItems count="6">
        <s v="North West"/>
        <s v="South South"/>
        <s v="North Central"/>
        <s v="South West"/>
        <s v="South East"/>
        <s v="North East"/>
      </sharedItems>
    </cacheField>
    <cacheField name="Mortality" numFmtId="0">
      <sharedItems containsSemiMixedTypes="0" containsString="0" containsNumber="1" containsInteger="1" minValue="1" maxValue="200000"/>
    </cacheField>
  </cacheFields>
  <extLst>
    <ext xmlns:x14="http://schemas.microsoft.com/office/spreadsheetml/2009/9/main" uri="{725AE2AE-9491-48be-B2B4-4EB974FC3084}">
      <x14:pivotCacheDefinition pivotCacheId="20437937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wner" refreshedDate="45925.322910879629" createdVersion="8" refreshedVersion="8" minRefreshableVersion="3" recordCount="338" xr:uid="{E9E2588F-3FBC-49AC-980D-313F34C8F80B}">
  <cacheSource type="worksheet">
    <worksheetSource ref="A1:G339" sheet="HPAI"/>
  </cacheSource>
  <cacheFields count="7">
    <cacheField name="Year" numFmtId="0">
      <sharedItems containsSemiMixedTypes="0" containsString="0" containsNumber="1" containsInteger="1" minValue="2020" maxValue="2025" count="6">
        <n v="2025"/>
        <n v="2024"/>
        <n v="2023"/>
        <n v="2022"/>
        <n v="2021"/>
        <n v="2020"/>
      </sharedItems>
    </cacheField>
    <cacheField name="Location" numFmtId="0">
      <sharedItems count="32">
        <s v="Kano"/>
        <s v="Delta"/>
        <s v="Kebbi"/>
        <s v="Plateau"/>
        <s v="Ogun"/>
        <s v="Lagos"/>
        <s v="Rivers"/>
        <s v="Imo"/>
        <s v="Bauchi"/>
        <s v="Ekiti"/>
        <s v="Katsina"/>
        <s v="Niger"/>
        <s v="Sokoto"/>
        <s v="Bayelsa"/>
        <s v="Oyo"/>
        <s v="Osun"/>
        <s v="Edo"/>
        <s v="Gombe"/>
        <s v="Kaduna"/>
        <s v="Kogi"/>
        <s v="FCT"/>
        <s v="Zamfara"/>
        <s v="Nasarawa"/>
        <s v="Anambra"/>
        <s v="Ebonyi"/>
        <s v="Abia"/>
        <s v="Jigawa"/>
        <s v="Adamawa"/>
        <s v="Borno"/>
        <s v="Enugu"/>
        <s v="Akwa Ibom"/>
        <s v="Taraba"/>
      </sharedItems>
    </cacheField>
    <cacheField name="Suspected" numFmtId="0">
      <sharedItems containsSemiMixedTypes="0" containsString="0" containsNumber="1" containsInteger="1" minValue="1" maxValue="200000"/>
    </cacheField>
    <cacheField name="Cases" numFmtId="0">
      <sharedItems containsSemiMixedTypes="0" containsString="0" containsNumber="1" containsInteger="1" minValue="0" maxValue="200000"/>
    </cacheField>
    <cacheField name="Death" numFmtId="0">
      <sharedItems containsSemiMixedTypes="0" containsString="0" containsNumber="1" containsInteger="1" minValue="1" maxValue="60504"/>
    </cacheField>
    <cacheField name="Killed and Disposed off" numFmtId="0">
      <sharedItems containsString="0" containsBlank="1" containsNumber="1" containsInteger="1" minValue="1" maxValue="190172"/>
    </cacheField>
    <cacheField name="Geopolitical Zone" numFmtId="0">
      <sharedItems count="7">
        <s v="North West"/>
        <s v="South South"/>
        <s v="North Central"/>
        <s v="South West"/>
        <s v="South East"/>
        <s v="North East"/>
        <e v="#N/A" u="1"/>
      </sharedItems>
    </cacheField>
  </cacheFields>
  <extLst>
    <ext xmlns:x14="http://schemas.microsoft.com/office/spreadsheetml/2009/9/main" uri="{725AE2AE-9491-48be-B2B4-4EB974FC3084}">
      <x14:pivotCacheDefinition pivotCacheId="110882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
  <r>
    <x v="0"/>
    <x v="0"/>
    <n v="50"/>
    <n v="50"/>
    <n v="7"/>
    <n v="43"/>
    <x v="0"/>
    <n v="50"/>
  </r>
  <r>
    <x v="1"/>
    <x v="1"/>
    <n v="1590"/>
    <n v="1590"/>
    <n v="1590"/>
    <m/>
    <x v="1"/>
    <n v="1590"/>
  </r>
  <r>
    <x v="1"/>
    <x v="2"/>
    <n v="14"/>
    <n v="14"/>
    <n v="10"/>
    <n v="4"/>
    <x v="0"/>
    <n v="14"/>
  </r>
  <r>
    <x v="1"/>
    <x v="3"/>
    <n v="2"/>
    <n v="2"/>
    <n v="2"/>
    <m/>
    <x v="2"/>
    <n v="2"/>
  </r>
  <r>
    <x v="1"/>
    <x v="3"/>
    <n v="2500"/>
    <n v="2500"/>
    <n v="27"/>
    <n v="2473"/>
    <x v="2"/>
    <n v="2500"/>
  </r>
  <r>
    <x v="2"/>
    <x v="4"/>
    <n v="5098"/>
    <n v="5098"/>
    <n v="1878"/>
    <n v="3220"/>
    <x v="3"/>
    <n v="5098"/>
  </r>
  <r>
    <x v="2"/>
    <x v="5"/>
    <n v="6500"/>
    <n v="6500"/>
    <n v="1000"/>
    <n v="5500"/>
    <x v="3"/>
    <n v="6500"/>
  </r>
  <r>
    <x v="2"/>
    <x v="6"/>
    <n v="1800"/>
    <n v="1800"/>
    <n v="150"/>
    <n v="1650"/>
    <x v="1"/>
    <n v="1800"/>
  </r>
  <r>
    <x v="2"/>
    <x v="0"/>
    <n v="2000"/>
    <n v="2000"/>
    <n v="45"/>
    <n v="1955"/>
    <x v="0"/>
    <n v="2000"/>
  </r>
  <r>
    <x v="2"/>
    <x v="0"/>
    <n v="2700"/>
    <n v="2700"/>
    <n v="300"/>
    <n v="2400"/>
    <x v="0"/>
    <n v="2700"/>
  </r>
  <r>
    <x v="2"/>
    <x v="7"/>
    <n v="1000"/>
    <n v="1000"/>
    <n v="175"/>
    <n v="825"/>
    <x v="4"/>
    <n v="1000"/>
  </r>
  <r>
    <x v="2"/>
    <x v="0"/>
    <n v="420"/>
    <n v="420"/>
    <n v="4"/>
    <n v="416"/>
    <x v="0"/>
    <n v="420"/>
  </r>
  <r>
    <x v="2"/>
    <x v="8"/>
    <n v="1000"/>
    <n v="1000"/>
    <n v="200"/>
    <n v="800"/>
    <x v="5"/>
    <n v="1000"/>
  </r>
  <r>
    <x v="2"/>
    <x v="0"/>
    <n v="10700"/>
    <n v="10700"/>
    <n v="2700"/>
    <n v="8000"/>
    <x v="0"/>
    <n v="10700"/>
  </r>
  <r>
    <x v="2"/>
    <x v="3"/>
    <n v="1000"/>
    <n v="1000"/>
    <n v="180"/>
    <n v="820"/>
    <x v="2"/>
    <n v="1000"/>
  </r>
  <r>
    <x v="2"/>
    <x v="9"/>
    <n v="609"/>
    <n v="609"/>
    <n v="305"/>
    <n v="304"/>
    <x v="3"/>
    <n v="609"/>
  </r>
  <r>
    <x v="2"/>
    <x v="10"/>
    <n v="1200"/>
    <n v="1200"/>
    <n v="96"/>
    <n v="1104"/>
    <x v="0"/>
    <n v="1200"/>
  </r>
  <r>
    <x v="2"/>
    <x v="10"/>
    <n v="40000"/>
    <n v="40000"/>
    <n v="11300"/>
    <n v="28700"/>
    <x v="0"/>
    <n v="40000"/>
  </r>
  <r>
    <x v="2"/>
    <x v="0"/>
    <n v="230"/>
    <n v="230"/>
    <n v="25"/>
    <n v="205"/>
    <x v="0"/>
    <n v="230"/>
  </r>
  <r>
    <x v="2"/>
    <x v="0"/>
    <n v="2100"/>
    <n v="2100"/>
    <n v="790"/>
    <n v="1310"/>
    <x v="0"/>
    <n v="2100"/>
  </r>
  <r>
    <x v="2"/>
    <x v="0"/>
    <n v="3200"/>
    <n v="3200"/>
    <n v="60"/>
    <n v="3140"/>
    <x v="0"/>
    <n v="3200"/>
  </r>
  <r>
    <x v="2"/>
    <x v="0"/>
    <n v="491"/>
    <n v="491"/>
    <n v="200"/>
    <n v="291"/>
    <x v="0"/>
    <n v="491"/>
  </r>
  <r>
    <x v="2"/>
    <x v="0"/>
    <n v="3900"/>
    <n v="3900"/>
    <n v="1900"/>
    <n v="2000"/>
    <x v="0"/>
    <n v="3900"/>
  </r>
  <r>
    <x v="3"/>
    <x v="11"/>
    <n v="300"/>
    <n v="300"/>
    <n v="300"/>
    <m/>
    <x v="2"/>
    <n v="300"/>
  </r>
  <r>
    <x v="3"/>
    <x v="1"/>
    <n v="3200"/>
    <n v="3200"/>
    <n v="3200"/>
    <m/>
    <x v="1"/>
    <n v="3200"/>
  </r>
  <r>
    <x v="3"/>
    <x v="12"/>
    <n v="700"/>
    <n v="700"/>
    <n v="500"/>
    <n v="200"/>
    <x v="0"/>
    <n v="700"/>
  </r>
  <r>
    <x v="3"/>
    <x v="1"/>
    <n v="2850"/>
    <n v="2850"/>
    <n v="2000"/>
    <n v="850"/>
    <x v="1"/>
    <n v="2850"/>
  </r>
  <r>
    <x v="3"/>
    <x v="1"/>
    <n v="1350"/>
    <n v="1350"/>
    <n v="1350"/>
    <m/>
    <x v="1"/>
    <n v="1350"/>
  </r>
  <r>
    <x v="3"/>
    <x v="1"/>
    <n v="5500"/>
    <n v="5500"/>
    <n v="5497"/>
    <n v="3"/>
    <x v="1"/>
    <n v="5500"/>
  </r>
  <r>
    <x v="3"/>
    <x v="1"/>
    <n v="1200"/>
    <n v="1200"/>
    <n v="1150"/>
    <n v="50"/>
    <x v="1"/>
    <n v="1200"/>
  </r>
  <r>
    <x v="3"/>
    <x v="1"/>
    <n v="3700"/>
    <n v="3700"/>
    <n v="915"/>
    <n v="2785"/>
    <x v="1"/>
    <n v="3700"/>
  </r>
  <r>
    <x v="3"/>
    <x v="13"/>
    <n v="1500"/>
    <n v="1500"/>
    <n v="500"/>
    <n v="1000"/>
    <x v="1"/>
    <n v="1500"/>
  </r>
  <r>
    <x v="3"/>
    <x v="14"/>
    <n v="2000"/>
    <n v="2000"/>
    <n v="500"/>
    <n v="1500"/>
    <x v="3"/>
    <n v="2000"/>
  </r>
  <r>
    <x v="3"/>
    <x v="15"/>
    <n v="350"/>
    <n v="350"/>
    <n v="245"/>
    <n v="105"/>
    <x v="3"/>
    <n v="350"/>
  </r>
  <r>
    <x v="3"/>
    <x v="1"/>
    <n v="3500"/>
    <n v="3500"/>
    <n v="3500"/>
    <m/>
    <x v="1"/>
    <n v="3500"/>
  </r>
  <r>
    <x v="3"/>
    <x v="1"/>
    <n v="3920"/>
    <n v="3920"/>
    <n v="3920"/>
    <m/>
    <x v="1"/>
    <n v="3920"/>
  </r>
  <r>
    <x v="3"/>
    <x v="1"/>
    <n v="3400"/>
    <n v="3400"/>
    <n v="3400"/>
    <m/>
    <x v="1"/>
    <n v="3400"/>
  </r>
  <r>
    <x v="3"/>
    <x v="1"/>
    <n v="1000"/>
    <n v="1000"/>
    <n v="1000"/>
    <m/>
    <x v="1"/>
    <n v="1000"/>
  </r>
  <r>
    <x v="3"/>
    <x v="1"/>
    <n v="3000"/>
    <n v="3000"/>
    <n v="3000"/>
    <m/>
    <x v="1"/>
    <n v="3000"/>
  </r>
  <r>
    <x v="3"/>
    <x v="1"/>
    <n v="2500"/>
    <n v="2500"/>
    <n v="2500"/>
    <m/>
    <x v="1"/>
    <n v="2500"/>
  </r>
  <r>
    <x v="4"/>
    <x v="13"/>
    <n v="2200"/>
    <n v="2200"/>
    <n v="850"/>
    <n v="1350"/>
    <x v="1"/>
    <n v="2200"/>
  </r>
  <r>
    <x v="3"/>
    <x v="5"/>
    <n v="2670"/>
    <n v="2670"/>
    <n v="5"/>
    <n v="2665"/>
    <x v="3"/>
    <n v="2670"/>
  </r>
  <r>
    <x v="3"/>
    <x v="5"/>
    <n v="2795"/>
    <n v="2795"/>
    <n v="62"/>
    <n v="2733"/>
    <x v="3"/>
    <n v="2795"/>
  </r>
  <r>
    <x v="3"/>
    <x v="5"/>
    <n v="2500"/>
    <n v="2500"/>
    <n v="32"/>
    <n v="2468"/>
    <x v="3"/>
    <n v="2500"/>
  </r>
  <r>
    <x v="3"/>
    <x v="5"/>
    <n v="2500"/>
    <n v="2500"/>
    <n v="250"/>
    <n v="2250"/>
    <x v="3"/>
    <n v="2500"/>
  </r>
  <r>
    <x v="3"/>
    <x v="5"/>
    <n v="2330"/>
    <n v="2330"/>
    <n v="58"/>
    <n v="2272"/>
    <x v="3"/>
    <n v="2330"/>
  </r>
  <r>
    <x v="3"/>
    <x v="5"/>
    <n v="2960"/>
    <n v="2960"/>
    <n v="100"/>
    <n v="2860"/>
    <x v="3"/>
    <n v="2960"/>
  </r>
  <r>
    <x v="4"/>
    <x v="1"/>
    <n v="28520"/>
    <n v="28520"/>
    <n v="25020"/>
    <n v="3500"/>
    <x v="1"/>
    <n v="28520"/>
  </r>
  <r>
    <x v="4"/>
    <x v="1"/>
    <n v="50000"/>
    <n v="50000"/>
    <n v="7000"/>
    <n v="43000"/>
    <x v="1"/>
    <n v="50000"/>
  </r>
  <r>
    <x v="4"/>
    <x v="1"/>
    <n v="3500"/>
    <n v="3500"/>
    <n v="2050"/>
    <n v="1450"/>
    <x v="1"/>
    <n v="3500"/>
  </r>
  <r>
    <x v="3"/>
    <x v="0"/>
    <n v="1100"/>
    <n v="1100"/>
    <n v="520"/>
    <n v="580"/>
    <x v="0"/>
    <n v="1100"/>
  </r>
  <r>
    <x v="3"/>
    <x v="3"/>
    <n v="30000"/>
    <n v="30000"/>
    <n v="12000"/>
    <n v="18000"/>
    <x v="2"/>
    <n v="30000"/>
  </r>
  <r>
    <x v="3"/>
    <x v="6"/>
    <n v="1450"/>
    <n v="1450"/>
    <n v="825"/>
    <n v="625"/>
    <x v="1"/>
    <n v="1450"/>
  </r>
  <r>
    <x v="3"/>
    <x v="1"/>
    <n v="3200"/>
    <n v="3200"/>
    <n v="1100"/>
    <n v="2100"/>
    <x v="1"/>
    <n v="3200"/>
  </r>
  <r>
    <x v="3"/>
    <x v="5"/>
    <n v="2950"/>
    <n v="2950"/>
    <n v="88"/>
    <n v="2862"/>
    <x v="3"/>
    <n v="2950"/>
  </r>
  <r>
    <x v="3"/>
    <x v="4"/>
    <n v="850"/>
    <n v="850"/>
    <n v="850"/>
    <m/>
    <x v="3"/>
    <n v="850"/>
  </r>
  <r>
    <x v="3"/>
    <x v="4"/>
    <n v="2400"/>
    <n v="2400"/>
    <n v="1320"/>
    <n v="1080"/>
    <x v="3"/>
    <n v="2400"/>
  </r>
  <r>
    <x v="3"/>
    <x v="13"/>
    <n v="2500"/>
    <n v="2500"/>
    <n v="241"/>
    <n v="2259"/>
    <x v="1"/>
    <n v="2500"/>
  </r>
  <r>
    <x v="3"/>
    <x v="16"/>
    <n v="2700"/>
    <n v="2700"/>
    <n v="300"/>
    <n v="2400"/>
    <x v="1"/>
    <n v="2700"/>
  </r>
  <r>
    <x v="3"/>
    <x v="16"/>
    <n v="2350"/>
    <n v="2350"/>
    <n v="200"/>
    <n v="2150"/>
    <x v="1"/>
    <n v="2350"/>
  </r>
  <r>
    <x v="3"/>
    <x v="16"/>
    <n v="3000"/>
    <n v="3000"/>
    <n v="300"/>
    <n v="2700"/>
    <x v="1"/>
    <n v="3000"/>
  </r>
  <r>
    <x v="3"/>
    <x v="13"/>
    <n v="2850"/>
    <n v="2850"/>
    <n v="400"/>
    <n v="2450"/>
    <x v="1"/>
    <n v="2850"/>
  </r>
  <r>
    <x v="3"/>
    <x v="13"/>
    <n v="2019"/>
    <n v="2019"/>
    <n v="409"/>
    <n v="1610"/>
    <x v="1"/>
    <n v="2019"/>
  </r>
  <r>
    <x v="3"/>
    <x v="1"/>
    <n v="3950"/>
    <n v="3950"/>
    <n v="1451"/>
    <n v="2499"/>
    <x v="1"/>
    <n v="3950"/>
  </r>
  <r>
    <x v="3"/>
    <x v="1"/>
    <n v="5534"/>
    <n v="5534"/>
    <n v="2310"/>
    <n v="3224"/>
    <x v="1"/>
    <n v="5534"/>
  </r>
  <r>
    <x v="3"/>
    <x v="1"/>
    <n v="2000"/>
    <n v="2000"/>
    <n v="1205"/>
    <n v="795"/>
    <x v="1"/>
    <n v="2000"/>
  </r>
  <r>
    <x v="3"/>
    <x v="1"/>
    <n v="2000"/>
    <n v="2000"/>
    <n v="352"/>
    <n v="1648"/>
    <x v="1"/>
    <n v="2000"/>
  </r>
  <r>
    <x v="3"/>
    <x v="1"/>
    <n v="1200"/>
    <n v="1200"/>
    <n v="817"/>
    <n v="383"/>
    <x v="1"/>
    <n v="1200"/>
  </r>
  <r>
    <x v="3"/>
    <x v="16"/>
    <n v="1000"/>
    <n v="1000"/>
    <n v="449"/>
    <n v="551"/>
    <x v="1"/>
    <n v="1000"/>
  </r>
  <r>
    <x v="3"/>
    <x v="17"/>
    <n v="150"/>
    <n v="150"/>
    <n v="150"/>
    <m/>
    <x v="5"/>
    <n v="150"/>
  </r>
  <r>
    <x v="3"/>
    <x v="17"/>
    <n v="26"/>
    <n v="26"/>
    <n v="26"/>
    <m/>
    <x v="5"/>
    <n v="26"/>
  </r>
  <r>
    <x v="3"/>
    <x v="17"/>
    <n v="82"/>
    <n v="82"/>
    <n v="82"/>
    <m/>
    <x v="5"/>
    <n v="82"/>
  </r>
  <r>
    <x v="3"/>
    <x v="17"/>
    <n v="126"/>
    <n v="126"/>
    <n v="104"/>
    <n v="22"/>
    <x v="5"/>
    <n v="126"/>
  </r>
  <r>
    <x v="3"/>
    <x v="17"/>
    <n v="3500"/>
    <n v="3500"/>
    <n v="350"/>
    <n v="3150"/>
    <x v="5"/>
    <n v="3500"/>
  </r>
  <r>
    <x v="3"/>
    <x v="17"/>
    <n v="3200"/>
    <n v="3200"/>
    <n v="907"/>
    <n v="2293"/>
    <x v="5"/>
    <n v="3200"/>
  </r>
  <r>
    <x v="3"/>
    <x v="5"/>
    <n v="60"/>
    <n v="60"/>
    <n v="10"/>
    <n v="50"/>
    <x v="3"/>
    <n v="60"/>
  </r>
  <r>
    <x v="3"/>
    <x v="5"/>
    <n v="50"/>
    <n v="50"/>
    <n v="5"/>
    <n v="45"/>
    <x v="3"/>
    <n v="50"/>
  </r>
  <r>
    <x v="3"/>
    <x v="5"/>
    <n v="1420"/>
    <n v="1420"/>
    <n v="20"/>
    <n v="1400"/>
    <x v="3"/>
    <n v="1420"/>
  </r>
  <r>
    <x v="3"/>
    <x v="5"/>
    <n v="1400"/>
    <n v="1400"/>
    <n v="50"/>
    <n v="1350"/>
    <x v="3"/>
    <n v="1400"/>
  </r>
  <r>
    <x v="3"/>
    <x v="5"/>
    <n v="1200"/>
    <n v="1200"/>
    <n v="100"/>
    <n v="1100"/>
    <x v="3"/>
    <n v="1200"/>
  </r>
  <r>
    <x v="3"/>
    <x v="4"/>
    <n v="90000"/>
    <n v="90000"/>
    <n v="6736"/>
    <n v="83264"/>
    <x v="3"/>
    <n v="90000"/>
  </r>
  <r>
    <x v="3"/>
    <x v="17"/>
    <n v="14000"/>
    <n v="14000"/>
    <n v="4000"/>
    <n v="10000"/>
    <x v="5"/>
    <n v="14000"/>
  </r>
  <r>
    <x v="3"/>
    <x v="0"/>
    <n v="12800"/>
    <n v="12800"/>
    <n v="800"/>
    <n v="12000"/>
    <x v="0"/>
    <n v="12800"/>
  </r>
  <r>
    <x v="3"/>
    <x v="18"/>
    <n v="4000"/>
    <n v="4000"/>
    <n v="400"/>
    <n v="3600"/>
    <x v="0"/>
    <n v="4000"/>
  </r>
  <r>
    <x v="3"/>
    <x v="18"/>
    <n v="49000"/>
    <n v="49000"/>
    <n v="600"/>
    <n v="48400"/>
    <x v="0"/>
    <n v="49000"/>
  </r>
  <r>
    <x v="3"/>
    <x v="0"/>
    <n v="800"/>
    <n v="800"/>
    <n v="500"/>
    <n v="300"/>
    <x v="0"/>
    <n v="800"/>
  </r>
  <r>
    <x v="3"/>
    <x v="19"/>
    <n v="2000"/>
    <n v="2000"/>
    <n v="50"/>
    <n v="1950"/>
    <x v="2"/>
    <n v="2000"/>
  </r>
  <r>
    <x v="3"/>
    <x v="0"/>
    <n v="2700"/>
    <n v="2700"/>
    <n v="500"/>
    <n v="2200"/>
    <x v="0"/>
    <n v="2700"/>
  </r>
  <r>
    <x v="3"/>
    <x v="17"/>
    <n v="26"/>
    <n v="26"/>
    <n v="3"/>
    <n v="23"/>
    <x v="5"/>
    <n v="26"/>
  </r>
  <r>
    <x v="4"/>
    <x v="0"/>
    <n v="23"/>
    <n v="23"/>
    <n v="10"/>
    <n v="13"/>
    <x v="0"/>
    <n v="23"/>
  </r>
  <r>
    <x v="4"/>
    <x v="0"/>
    <n v="220"/>
    <n v="220"/>
    <n v="100"/>
    <n v="120"/>
    <x v="0"/>
    <n v="220"/>
  </r>
  <r>
    <x v="4"/>
    <x v="0"/>
    <n v="1000"/>
    <n v="1000"/>
    <n v="400"/>
    <n v="600"/>
    <x v="0"/>
    <n v="1000"/>
  </r>
  <r>
    <x v="4"/>
    <x v="0"/>
    <n v="900"/>
    <n v="900"/>
    <n v="500"/>
    <n v="400"/>
    <x v="0"/>
    <n v="900"/>
  </r>
  <r>
    <x v="4"/>
    <x v="0"/>
    <n v="700"/>
    <n v="700"/>
    <n v="250"/>
    <n v="450"/>
    <x v="0"/>
    <n v="700"/>
  </r>
  <r>
    <x v="4"/>
    <x v="0"/>
    <n v="700"/>
    <n v="700"/>
    <n v="400"/>
    <n v="300"/>
    <x v="0"/>
    <n v="700"/>
  </r>
  <r>
    <x v="4"/>
    <x v="0"/>
    <n v="2918"/>
    <n v="2918"/>
    <n v="718"/>
    <n v="2200"/>
    <x v="0"/>
    <n v="2918"/>
  </r>
  <r>
    <x v="4"/>
    <x v="0"/>
    <n v="2875"/>
    <n v="2875"/>
    <n v="820"/>
    <n v="2055"/>
    <x v="0"/>
    <n v="2875"/>
  </r>
  <r>
    <x v="4"/>
    <x v="0"/>
    <n v="2912"/>
    <n v="2912"/>
    <n v="59"/>
    <n v="2853"/>
    <x v="0"/>
    <n v="2912"/>
  </r>
  <r>
    <x v="4"/>
    <x v="0"/>
    <n v="2798"/>
    <n v="2798"/>
    <n v="134"/>
    <n v="2664"/>
    <x v="0"/>
    <n v="2798"/>
  </r>
  <r>
    <x v="4"/>
    <x v="0"/>
    <n v="1800"/>
    <n v="1800"/>
    <n v="198"/>
    <n v="1602"/>
    <x v="0"/>
    <n v="1800"/>
  </r>
  <r>
    <x v="4"/>
    <x v="0"/>
    <n v="1200"/>
    <n v="1200"/>
    <n v="120"/>
    <n v="1080"/>
    <x v="0"/>
    <n v="1200"/>
  </r>
  <r>
    <x v="4"/>
    <x v="0"/>
    <n v="194"/>
    <n v="194"/>
    <n v="14"/>
    <n v="180"/>
    <x v="0"/>
    <n v="194"/>
  </r>
  <r>
    <x v="4"/>
    <x v="8"/>
    <n v="400"/>
    <n v="400"/>
    <n v="80"/>
    <n v="320"/>
    <x v="5"/>
    <n v="400"/>
  </r>
  <r>
    <x v="4"/>
    <x v="0"/>
    <n v="1800"/>
    <n v="1800"/>
    <n v="100"/>
    <n v="1700"/>
    <x v="0"/>
    <n v="1800"/>
  </r>
  <r>
    <x v="4"/>
    <x v="0"/>
    <n v="200000"/>
    <n v="200000"/>
    <n v="9828"/>
    <n v="190172"/>
    <x v="0"/>
    <n v="200000"/>
  </r>
  <r>
    <x v="4"/>
    <x v="0"/>
    <n v="42"/>
    <n v="42"/>
    <n v="8"/>
    <n v="34"/>
    <x v="0"/>
    <n v="42"/>
  </r>
  <r>
    <x v="4"/>
    <x v="0"/>
    <n v="2500"/>
    <n v="2500"/>
    <n v="100"/>
    <n v="2400"/>
    <x v="0"/>
    <n v="2500"/>
  </r>
  <r>
    <x v="5"/>
    <x v="0"/>
    <n v="63"/>
    <n v="0"/>
    <n v="61"/>
    <n v="2"/>
    <x v="0"/>
    <n v="63"/>
  </r>
  <r>
    <x v="4"/>
    <x v="0"/>
    <n v="3675"/>
    <n v="268"/>
    <n v="153"/>
    <n v="3522"/>
    <x v="0"/>
    <n v="3675"/>
  </r>
  <r>
    <x v="4"/>
    <x v="18"/>
    <n v="7505"/>
    <n v="600"/>
    <n v="416"/>
    <n v="7089"/>
    <x v="0"/>
    <n v="7505"/>
  </r>
  <r>
    <x v="4"/>
    <x v="8"/>
    <n v="2446"/>
    <n v="400"/>
    <n v="126"/>
    <n v="2320"/>
    <x v="5"/>
    <n v="2446"/>
  </r>
  <r>
    <x v="4"/>
    <x v="0"/>
    <n v="223"/>
    <n v="223"/>
    <n v="50"/>
    <n v="173"/>
    <x v="0"/>
    <n v="223"/>
  </r>
  <r>
    <x v="4"/>
    <x v="0"/>
    <n v="87"/>
    <n v="87"/>
    <n v="48"/>
    <n v="39"/>
    <x v="0"/>
    <n v="87"/>
  </r>
  <r>
    <x v="4"/>
    <x v="3"/>
    <n v="104510"/>
    <n v="104510"/>
    <n v="17405"/>
    <n v="87105"/>
    <x v="2"/>
    <n v="104510"/>
  </r>
  <r>
    <x v="3"/>
    <x v="3"/>
    <n v="450"/>
    <n v="450"/>
    <n v="100"/>
    <n v="350"/>
    <x v="2"/>
    <n v="450"/>
  </r>
  <r>
    <x v="3"/>
    <x v="3"/>
    <n v="600"/>
    <n v="600"/>
    <n v="350"/>
    <n v="250"/>
    <x v="2"/>
    <n v="600"/>
  </r>
  <r>
    <x v="3"/>
    <x v="0"/>
    <n v="1700"/>
    <n v="1700"/>
    <n v="64"/>
    <n v="1636"/>
    <x v="0"/>
    <n v="1700"/>
  </r>
  <r>
    <x v="3"/>
    <x v="0"/>
    <n v="1700"/>
    <n v="1700"/>
    <n v="950"/>
    <n v="750"/>
    <x v="0"/>
    <n v="1700"/>
  </r>
  <r>
    <x v="3"/>
    <x v="0"/>
    <n v="2500"/>
    <n v="2500"/>
    <n v="200"/>
    <n v="2300"/>
    <x v="0"/>
    <n v="2500"/>
  </r>
  <r>
    <x v="3"/>
    <x v="0"/>
    <n v="6000"/>
    <n v="6000"/>
    <n v="1218"/>
    <n v="4782"/>
    <x v="0"/>
    <n v="6000"/>
  </r>
  <r>
    <x v="3"/>
    <x v="8"/>
    <n v="4800"/>
    <n v="4800"/>
    <n v="308"/>
    <n v="4492"/>
    <x v="5"/>
    <n v="4800"/>
  </r>
  <r>
    <x v="3"/>
    <x v="20"/>
    <n v="5500"/>
    <n v="5500"/>
    <n v="200"/>
    <n v="5300"/>
    <x v="2"/>
    <n v="5500"/>
  </r>
  <r>
    <x v="3"/>
    <x v="11"/>
    <n v="2500"/>
    <n v="2500"/>
    <n v="450"/>
    <n v="2050"/>
    <x v="2"/>
    <n v="2500"/>
  </r>
  <r>
    <x v="3"/>
    <x v="3"/>
    <n v="25"/>
    <n v="25"/>
    <n v="4"/>
    <n v="21"/>
    <x v="2"/>
    <n v="25"/>
  </r>
  <r>
    <x v="3"/>
    <x v="3"/>
    <n v="50"/>
    <n v="50"/>
    <n v="12"/>
    <n v="38"/>
    <x v="2"/>
    <n v="50"/>
  </r>
  <r>
    <x v="3"/>
    <x v="3"/>
    <n v="250"/>
    <n v="250"/>
    <n v="30"/>
    <n v="220"/>
    <x v="2"/>
    <n v="250"/>
  </r>
  <r>
    <x v="3"/>
    <x v="3"/>
    <n v="350"/>
    <n v="350"/>
    <n v="50"/>
    <n v="300"/>
    <x v="2"/>
    <n v="350"/>
  </r>
  <r>
    <x v="3"/>
    <x v="10"/>
    <n v="1000"/>
    <n v="1000"/>
    <n v="75"/>
    <n v="925"/>
    <x v="0"/>
    <n v="1000"/>
  </r>
  <r>
    <x v="3"/>
    <x v="10"/>
    <n v="19"/>
    <n v="19"/>
    <n v="3"/>
    <n v="16"/>
    <x v="0"/>
    <n v="19"/>
  </r>
  <r>
    <x v="3"/>
    <x v="10"/>
    <n v="5000"/>
    <n v="5000"/>
    <n v="230"/>
    <n v="4770"/>
    <x v="0"/>
    <n v="5000"/>
  </r>
  <r>
    <x v="3"/>
    <x v="0"/>
    <n v="2100"/>
    <n v="2100"/>
    <n v="200"/>
    <n v="1900"/>
    <x v="0"/>
    <n v="2100"/>
  </r>
  <r>
    <x v="3"/>
    <x v="0"/>
    <n v="1500"/>
    <n v="1500"/>
    <n v="400"/>
    <n v="1100"/>
    <x v="0"/>
    <n v="1500"/>
  </r>
  <r>
    <x v="3"/>
    <x v="0"/>
    <n v="1200"/>
    <n v="1200"/>
    <n v="100"/>
    <n v="1100"/>
    <x v="0"/>
    <n v="1200"/>
  </r>
  <r>
    <x v="3"/>
    <x v="0"/>
    <n v="2700"/>
    <n v="2700"/>
    <n v="200"/>
    <n v="2500"/>
    <x v="0"/>
    <n v="2700"/>
  </r>
  <r>
    <x v="3"/>
    <x v="0"/>
    <n v="2500"/>
    <n v="2500"/>
    <n v="100"/>
    <n v="2400"/>
    <x v="0"/>
    <n v="2500"/>
  </r>
  <r>
    <x v="3"/>
    <x v="17"/>
    <n v="150"/>
    <n v="150"/>
    <n v="30"/>
    <n v="120"/>
    <x v="5"/>
    <n v="150"/>
  </r>
  <r>
    <x v="3"/>
    <x v="8"/>
    <n v="490"/>
    <n v="490"/>
    <n v="10"/>
    <n v="480"/>
    <x v="5"/>
    <n v="490"/>
  </r>
  <r>
    <x v="3"/>
    <x v="21"/>
    <n v="8000"/>
    <n v="8000"/>
    <n v="500"/>
    <n v="7500"/>
    <x v="0"/>
    <n v="8000"/>
  </r>
  <r>
    <x v="3"/>
    <x v="3"/>
    <n v="150"/>
    <n v="150"/>
    <n v="47"/>
    <n v="103"/>
    <x v="2"/>
    <n v="150"/>
  </r>
  <r>
    <x v="3"/>
    <x v="11"/>
    <n v="3000"/>
    <n v="3000"/>
    <n v="1000"/>
    <n v="2000"/>
    <x v="2"/>
    <n v="3000"/>
  </r>
  <r>
    <x v="3"/>
    <x v="11"/>
    <n v="100"/>
    <n v="100"/>
    <n v="40"/>
    <n v="60"/>
    <x v="2"/>
    <n v="100"/>
  </r>
  <r>
    <x v="3"/>
    <x v="10"/>
    <n v="2100"/>
    <n v="2100"/>
    <n v="400"/>
    <n v="1700"/>
    <x v="0"/>
    <n v="2100"/>
  </r>
  <r>
    <x v="3"/>
    <x v="10"/>
    <n v="575"/>
    <n v="575"/>
    <n v="575"/>
    <m/>
    <x v="0"/>
    <n v="575"/>
  </r>
  <r>
    <x v="3"/>
    <x v="10"/>
    <n v="102345"/>
    <n v="102345"/>
    <n v="291"/>
    <n v="102054"/>
    <x v="0"/>
    <n v="102345"/>
  </r>
  <r>
    <x v="3"/>
    <x v="0"/>
    <n v="500"/>
    <n v="500"/>
    <n v="100"/>
    <n v="400"/>
    <x v="0"/>
    <n v="500"/>
  </r>
  <r>
    <x v="3"/>
    <x v="0"/>
    <n v="2989"/>
    <n v="2989"/>
    <n v="380"/>
    <n v="2609"/>
    <x v="0"/>
    <n v="2989"/>
  </r>
  <r>
    <x v="3"/>
    <x v="0"/>
    <n v="4100"/>
    <n v="4100"/>
    <n v="150"/>
    <n v="3950"/>
    <x v="0"/>
    <n v="4100"/>
  </r>
  <r>
    <x v="4"/>
    <x v="16"/>
    <n v="1250"/>
    <n v="1250"/>
    <n v="110"/>
    <n v="1140"/>
    <x v="1"/>
    <n v="1250"/>
  </r>
  <r>
    <x v="4"/>
    <x v="18"/>
    <n v="5210"/>
    <n v="5210"/>
    <n v="481"/>
    <n v="4729"/>
    <x v="0"/>
    <n v="5210"/>
  </r>
  <r>
    <x v="3"/>
    <x v="18"/>
    <n v="9400"/>
    <n v="9400"/>
    <n v="3536"/>
    <n v="5864"/>
    <x v="0"/>
    <n v="9400"/>
  </r>
  <r>
    <x v="3"/>
    <x v="0"/>
    <n v="1650"/>
    <n v="1650"/>
    <n v="150"/>
    <n v="1500"/>
    <x v="0"/>
    <n v="1650"/>
  </r>
  <r>
    <x v="3"/>
    <x v="0"/>
    <n v="3000"/>
    <n v="3000"/>
    <n v="570"/>
    <n v="2430"/>
    <x v="0"/>
    <n v="3000"/>
  </r>
  <r>
    <x v="3"/>
    <x v="22"/>
    <n v="10000"/>
    <n v="10000"/>
    <n v="5100"/>
    <n v="4900"/>
    <x v="2"/>
    <n v="10000"/>
  </r>
  <r>
    <x v="3"/>
    <x v="23"/>
    <n v="3000"/>
    <n v="3000"/>
    <n v="150"/>
    <n v="2850"/>
    <x v="4"/>
    <n v="3000"/>
  </r>
  <r>
    <x v="3"/>
    <x v="24"/>
    <n v="500"/>
    <n v="500"/>
    <n v="100"/>
    <n v="400"/>
    <x v="4"/>
    <n v="500"/>
  </r>
  <r>
    <x v="3"/>
    <x v="0"/>
    <n v="950"/>
    <n v="950"/>
    <n v="85"/>
    <n v="865"/>
    <x v="0"/>
    <n v="950"/>
  </r>
  <r>
    <x v="3"/>
    <x v="0"/>
    <n v="2700"/>
    <n v="2700"/>
    <n v="540"/>
    <n v="2160"/>
    <x v="0"/>
    <n v="2700"/>
  </r>
  <r>
    <x v="3"/>
    <x v="0"/>
    <n v="1500"/>
    <n v="1500"/>
    <n v="180"/>
    <n v="1320"/>
    <x v="0"/>
    <n v="1500"/>
  </r>
  <r>
    <x v="4"/>
    <x v="3"/>
    <n v="7000"/>
    <n v="7000"/>
    <n v="15"/>
    <n v="6985"/>
    <x v="2"/>
    <n v="7000"/>
  </r>
  <r>
    <x v="3"/>
    <x v="3"/>
    <n v="120"/>
    <n v="120"/>
    <n v="14"/>
    <n v="106"/>
    <x v="2"/>
    <n v="120"/>
  </r>
  <r>
    <x v="3"/>
    <x v="3"/>
    <n v="1700"/>
    <n v="1700"/>
    <n v="60"/>
    <n v="1640"/>
    <x v="2"/>
    <n v="1700"/>
  </r>
  <r>
    <x v="3"/>
    <x v="18"/>
    <n v="3300"/>
    <n v="3300"/>
    <n v="383"/>
    <n v="2917"/>
    <x v="0"/>
    <n v="3300"/>
  </r>
  <r>
    <x v="3"/>
    <x v="25"/>
    <n v="3000"/>
    <n v="3000"/>
    <n v="800"/>
    <n v="2200"/>
    <x v="4"/>
    <n v="3000"/>
  </r>
  <r>
    <x v="4"/>
    <x v="0"/>
    <n v="20000"/>
    <n v="20000"/>
    <n v="5000"/>
    <n v="15000"/>
    <x v="0"/>
    <n v="20000"/>
  </r>
  <r>
    <x v="4"/>
    <x v="0"/>
    <n v="39900"/>
    <n v="39900"/>
    <n v="9000"/>
    <n v="30900"/>
    <x v="0"/>
    <n v="39900"/>
  </r>
  <r>
    <x v="3"/>
    <x v="2"/>
    <n v="105"/>
    <n v="105"/>
    <n v="75"/>
    <n v="30"/>
    <x v="0"/>
    <n v="105"/>
  </r>
  <r>
    <x v="3"/>
    <x v="14"/>
    <n v="5"/>
    <n v="5"/>
    <n v="4"/>
    <n v="1"/>
    <x v="3"/>
    <n v="5"/>
  </r>
  <r>
    <x v="3"/>
    <x v="2"/>
    <n v="70"/>
    <n v="70"/>
    <n v="40"/>
    <n v="30"/>
    <x v="0"/>
    <n v="70"/>
  </r>
  <r>
    <x v="3"/>
    <x v="0"/>
    <n v="3000"/>
    <n v="3000"/>
    <n v="800"/>
    <n v="2200"/>
    <x v="0"/>
    <n v="3000"/>
  </r>
  <r>
    <x v="3"/>
    <x v="0"/>
    <n v="1980"/>
    <n v="1980"/>
    <n v="500"/>
    <n v="1480"/>
    <x v="0"/>
    <n v="1980"/>
  </r>
  <r>
    <x v="3"/>
    <x v="0"/>
    <n v="900"/>
    <n v="900"/>
    <n v="84"/>
    <n v="816"/>
    <x v="0"/>
    <n v="900"/>
  </r>
  <r>
    <x v="4"/>
    <x v="0"/>
    <n v="1700"/>
    <n v="1700"/>
    <n v="1700"/>
    <m/>
    <x v="0"/>
    <n v="1700"/>
  </r>
  <r>
    <x v="3"/>
    <x v="0"/>
    <n v="2100"/>
    <n v="2100"/>
    <n v="675"/>
    <n v="1425"/>
    <x v="0"/>
    <n v="2100"/>
  </r>
  <r>
    <x v="3"/>
    <x v="17"/>
    <n v="126"/>
    <n v="126"/>
    <n v="104"/>
    <n v="22"/>
    <x v="5"/>
    <n v="126"/>
  </r>
  <r>
    <x v="3"/>
    <x v="17"/>
    <n v="82"/>
    <n v="82"/>
    <n v="40"/>
    <n v="42"/>
    <x v="5"/>
    <n v="82"/>
  </r>
  <r>
    <x v="3"/>
    <x v="26"/>
    <n v="600"/>
    <n v="600"/>
    <n v="489"/>
    <n v="111"/>
    <x v="0"/>
    <n v="600"/>
  </r>
  <r>
    <x v="3"/>
    <x v="0"/>
    <n v="99000"/>
    <n v="99000"/>
    <n v="35000"/>
    <n v="64000"/>
    <x v="0"/>
    <n v="99000"/>
  </r>
  <r>
    <x v="3"/>
    <x v="0"/>
    <n v="1500"/>
    <n v="1500"/>
    <n v="300"/>
    <n v="1200"/>
    <x v="0"/>
    <n v="1500"/>
  </r>
  <r>
    <x v="3"/>
    <x v="10"/>
    <n v="2000"/>
    <n v="2000"/>
    <n v="353"/>
    <n v="1647"/>
    <x v="0"/>
    <n v="2000"/>
  </r>
  <r>
    <x v="3"/>
    <x v="10"/>
    <n v="1500"/>
    <n v="1500"/>
    <n v="265"/>
    <n v="1235"/>
    <x v="0"/>
    <n v="1500"/>
  </r>
  <r>
    <x v="3"/>
    <x v="27"/>
    <n v="17000"/>
    <n v="17000"/>
    <n v="3200"/>
    <n v="13800"/>
    <x v="5"/>
    <n v="17000"/>
  </r>
  <r>
    <x v="4"/>
    <x v="17"/>
    <n v="800"/>
    <n v="800"/>
    <n v="600"/>
    <n v="200"/>
    <x v="5"/>
    <n v="800"/>
  </r>
  <r>
    <x v="3"/>
    <x v="21"/>
    <n v="180000"/>
    <n v="180000"/>
    <n v="30000"/>
    <n v="150000"/>
    <x v="0"/>
    <n v="180000"/>
  </r>
  <r>
    <x v="3"/>
    <x v="3"/>
    <n v="35"/>
    <n v="35"/>
    <n v="30"/>
    <n v="5"/>
    <x v="2"/>
    <n v="35"/>
  </r>
  <r>
    <x v="3"/>
    <x v="3"/>
    <n v="55"/>
    <n v="55"/>
    <n v="40"/>
    <n v="15"/>
    <x v="2"/>
    <n v="55"/>
  </r>
  <r>
    <x v="3"/>
    <x v="20"/>
    <n v="1200"/>
    <n v="1200"/>
    <n v="58"/>
    <n v="1142"/>
    <x v="2"/>
    <n v="1200"/>
  </r>
  <r>
    <x v="3"/>
    <x v="20"/>
    <n v="1000"/>
    <n v="1000"/>
    <n v="41"/>
    <n v="959"/>
    <x v="2"/>
    <n v="1000"/>
  </r>
  <r>
    <x v="3"/>
    <x v="20"/>
    <n v="2800"/>
    <n v="2800"/>
    <n v="34"/>
    <n v="2766"/>
    <x v="2"/>
    <n v="2800"/>
  </r>
  <r>
    <x v="3"/>
    <x v="28"/>
    <n v="37"/>
    <n v="37"/>
    <n v="20"/>
    <n v="17"/>
    <x v="5"/>
    <n v="37"/>
  </r>
  <r>
    <x v="3"/>
    <x v="20"/>
    <n v="31164"/>
    <n v="31164"/>
    <n v="7463"/>
    <n v="23701"/>
    <x v="2"/>
    <n v="31164"/>
  </r>
  <r>
    <x v="3"/>
    <x v="22"/>
    <n v="4070"/>
    <n v="4070"/>
    <n v="1000"/>
    <n v="3070"/>
    <x v="2"/>
    <n v="4070"/>
  </r>
  <r>
    <x v="3"/>
    <x v="22"/>
    <n v="3179"/>
    <n v="3179"/>
    <n v="500"/>
    <n v="2679"/>
    <x v="2"/>
    <n v="3179"/>
  </r>
  <r>
    <x v="3"/>
    <x v="22"/>
    <n v="5809"/>
    <n v="5809"/>
    <n v="1520"/>
    <n v="4289"/>
    <x v="2"/>
    <n v="5809"/>
  </r>
  <r>
    <x v="3"/>
    <x v="0"/>
    <n v="1500"/>
    <n v="1500"/>
    <n v="30"/>
    <n v="1470"/>
    <x v="0"/>
    <n v="1500"/>
  </r>
  <r>
    <x v="3"/>
    <x v="0"/>
    <n v="1700"/>
    <n v="1700"/>
    <n v="30"/>
    <n v="1670"/>
    <x v="0"/>
    <n v="1700"/>
  </r>
  <r>
    <x v="3"/>
    <x v="0"/>
    <n v="563"/>
    <n v="563"/>
    <n v="500"/>
    <n v="63"/>
    <x v="0"/>
    <n v="563"/>
  </r>
  <r>
    <x v="3"/>
    <x v="0"/>
    <n v="3600"/>
    <n v="3600"/>
    <n v="2000"/>
    <n v="1600"/>
    <x v="0"/>
    <n v="3600"/>
  </r>
  <r>
    <x v="3"/>
    <x v="0"/>
    <n v="3100"/>
    <n v="3100"/>
    <n v="3100"/>
    <m/>
    <x v="0"/>
    <n v="3100"/>
  </r>
  <r>
    <x v="3"/>
    <x v="3"/>
    <n v="2000"/>
    <n v="2000"/>
    <n v="25"/>
    <n v="1975"/>
    <x v="2"/>
    <n v="2000"/>
  </r>
  <r>
    <x v="3"/>
    <x v="3"/>
    <n v="400"/>
    <n v="400"/>
    <n v="18"/>
    <n v="382"/>
    <x v="2"/>
    <n v="400"/>
  </r>
  <r>
    <x v="3"/>
    <x v="3"/>
    <n v="2000"/>
    <n v="2000"/>
    <n v="300"/>
    <n v="1700"/>
    <x v="2"/>
    <n v="2000"/>
  </r>
  <r>
    <x v="3"/>
    <x v="22"/>
    <n v="1560"/>
    <n v="1560"/>
    <n v="560"/>
    <n v="1000"/>
    <x v="2"/>
    <n v="1560"/>
  </r>
  <r>
    <x v="3"/>
    <x v="18"/>
    <n v="14000"/>
    <n v="14000"/>
    <n v="13994"/>
    <n v="6"/>
    <x v="0"/>
    <n v="14000"/>
  </r>
  <r>
    <x v="3"/>
    <x v="17"/>
    <n v="3200"/>
    <n v="3200"/>
    <n v="350"/>
    <n v="2850"/>
    <x v="5"/>
    <n v="3200"/>
  </r>
  <r>
    <x v="3"/>
    <x v="0"/>
    <n v="31"/>
    <n v="31"/>
    <n v="27"/>
    <n v="4"/>
    <x v="0"/>
    <n v="31"/>
  </r>
  <r>
    <x v="3"/>
    <x v="0"/>
    <n v="2860"/>
    <n v="2860"/>
    <n v="1000"/>
    <n v="1860"/>
    <x v="0"/>
    <n v="2860"/>
  </r>
  <r>
    <x v="3"/>
    <x v="0"/>
    <n v="2970"/>
    <n v="2970"/>
    <n v="570"/>
    <n v="2400"/>
    <x v="0"/>
    <n v="2970"/>
  </r>
  <r>
    <x v="3"/>
    <x v="0"/>
    <n v="2966"/>
    <n v="2966"/>
    <n v="352"/>
    <n v="2614"/>
    <x v="0"/>
    <n v="2966"/>
  </r>
  <r>
    <x v="3"/>
    <x v="0"/>
    <n v="2900"/>
    <n v="2900"/>
    <n v="185"/>
    <n v="2715"/>
    <x v="0"/>
    <n v="2900"/>
  </r>
  <r>
    <x v="3"/>
    <x v="17"/>
    <n v="3200"/>
    <n v="3200"/>
    <n v="30"/>
    <n v="3170"/>
    <x v="5"/>
    <n v="3200"/>
  </r>
  <r>
    <x v="3"/>
    <x v="22"/>
    <n v="800"/>
    <n v="800"/>
    <n v="100"/>
    <n v="700"/>
    <x v="2"/>
    <n v="800"/>
  </r>
  <r>
    <x v="3"/>
    <x v="3"/>
    <n v="3500"/>
    <n v="3000"/>
    <n v="1000"/>
    <n v="2500"/>
    <x v="2"/>
    <n v="3500"/>
  </r>
  <r>
    <x v="3"/>
    <x v="3"/>
    <n v="3000"/>
    <n v="3000"/>
    <n v="600"/>
    <n v="2400"/>
    <x v="2"/>
    <n v="3000"/>
  </r>
  <r>
    <x v="3"/>
    <x v="3"/>
    <n v="1808"/>
    <n v="1808"/>
    <n v="39"/>
    <n v="1769"/>
    <x v="2"/>
    <n v="1808"/>
  </r>
  <r>
    <x v="3"/>
    <x v="8"/>
    <n v="2800"/>
    <n v="2800"/>
    <n v="2187"/>
    <n v="613"/>
    <x v="5"/>
    <n v="2800"/>
  </r>
  <r>
    <x v="3"/>
    <x v="16"/>
    <n v="11000"/>
    <n v="11000"/>
    <n v="501"/>
    <n v="10499"/>
    <x v="1"/>
    <n v="11000"/>
  </r>
  <r>
    <x v="3"/>
    <x v="16"/>
    <n v="2000"/>
    <n v="2000"/>
    <n v="125"/>
    <n v="1875"/>
    <x v="1"/>
    <n v="2000"/>
  </r>
  <r>
    <x v="3"/>
    <x v="20"/>
    <n v="145"/>
    <n v="145"/>
    <n v="125"/>
    <n v="20"/>
    <x v="2"/>
    <n v="145"/>
  </r>
  <r>
    <x v="3"/>
    <x v="22"/>
    <n v="5000"/>
    <n v="5000"/>
    <n v="1000"/>
    <n v="4000"/>
    <x v="2"/>
    <n v="5000"/>
  </r>
  <r>
    <x v="3"/>
    <x v="18"/>
    <n v="3000"/>
    <n v="3000"/>
    <n v="750"/>
    <n v="2250"/>
    <x v="0"/>
    <n v="3000"/>
  </r>
  <r>
    <x v="3"/>
    <x v="18"/>
    <n v="32000"/>
    <n v="32000"/>
    <n v="1500"/>
    <n v="30500"/>
    <x v="0"/>
    <n v="32000"/>
  </r>
  <r>
    <x v="4"/>
    <x v="6"/>
    <n v="3000"/>
    <n v="3000"/>
    <n v="2500"/>
    <n v="500"/>
    <x v="1"/>
    <n v="3000"/>
  </r>
  <r>
    <x v="4"/>
    <x v="23"/>
    <n v="2000"/>
    <n v="2000"/>
    <n v="85"/>
    <n v="1915"/>
    <x v="4"/>
    <n v="2000"/>
  </r>
  <r>
    <x v="4"/>
    <x v="8"/>
    <n v="2200"/>
    <n v="2200"/>
    <n v="560"/>
    <n v="1640"/>
    <x v="5"/>
    <n v="2200"/>
  </r>
  <r>
    <x v="4"/>
    <x v="3"/>
    <n v="2015"/>
    <n v="2015"/>
    <n v="515"/>
    <n v="1500"/>
    <x v="2"/>
    <n v="2015"/>
  </r>
  <r>
    <x v="4"/>
    <x v="3"/>
    <n v="9000"/>
    <n v="9000"/>
    <n v="1300"/>
    <n v="7700"/>
    <x v="2"/>
    <n v="9000"/>
  </r>
  <r>
    <x v="4"/>
    <x v="23"/>
    <n v="200"/>
    <n v="200"/>
    <n v="65"/>
    <n v="135"/>
    <x v="4"/>
    <n v="200"/>
  </r>
  <r>
    <x v="4"/>
    <x v="8"/>
    <n v="7234"/>
    <n v="7234"/>
    <n v="819"/>
    <n v="6415"/>
    <x v="5"/>
    <n v="7234"/>
  </r>
  <r>
    <x v="4"/>
    <x v="8"/>
    <n v="8271"/>
    <n v="8271"/>
    <n v="943"/>
    <n v="7328"/>
    <x v="5"/>
    <n v="8271"/>
  </r>
  <r>
    <x v="4"/>
    <x v="17"/>
    <n v="34"/>
    <n v="34"/>
    <n v="3"/>
    <n v="31"/>
    <x v="5"/>
    <n v="34"/>
  </r>
  <r>
    <x v="4"/>
    <x v="17"/>
    <n v="66"/>
    <n v="66"/>
    <n v="6"/>
    <n v="60"/>
    <x v="5"/>
    <n v="66"/>
  </r>
  <r>
    <x v="4"/>
    <x v="3"/>
    <n v="1600"/>
    <n v="1600"/>
    <n v="36"/>
    <n v="1564"/>
    <x v="2"/>
    <n v="1600"/>
  </r>
  <r>
    <x v="4"/>
    <x v="17"/>
    <n v="14"/>
    <n v="14"/>
    <n v="14"/>
    <m/>
    <x v="5"/>
    <n v="14"/>
  </r>
  <r>
    <x v="4"/>
    <x v="3"/>
    <n v="540"/>
    <n v="450"/>
    <n v="164"/>
    <n v="376"/>
    <x v="2"/>
    <n v="540"/>
  </r>
  <r>
    <x v="4"/>
    <x v="8"/>
    <n v="9760"/>
    <n v="9760"/>
    <n v="211"/>
    <n v="9549"/>
    <x v="5"/>
    <n v="9760"/>
  </r>
  <r>
    <x v="4"/>
    <x v="17"/>
    <n v="12"/>
    <n v="12"/>
    <n v="6"/>
    <n v="6"/>
    <x v="5"/>
    <n v="12"/>
  </r>
  <r>
    <x v="4"/>
    <x v="8"/>
    <n v="4902"/>
    <n v="4902"/>
    <n v="62"/>
    <n v="4840"/>
    <x v="5"/>
    <n v="4902"/>
  </r>
  <r>
    <x v="4"/>
    <x v="11"/>
    <n v="6000"/>
    <n v="6000"/>
    <n v="1233"/>
    <n v="4767"/>
    <x v="2"/>
    <n v="6000"/>
  </r>
  <r>
    <x v="4"/>
    <x v="6"/>
    <n v="5200"/>
    <n v="5200"/>
    <n v="5120"/>
    <n v="80"/>
    <x v="1"/>
    <n v="5200"/>
  </r>
  <r>
    <x v="4"/>
    <x v="11"/>
    <n v="500"/>
    <n v="500"/>
    <n v="106"/>
    <n v="394"/>
    <x v="2"/>
    <n v="500"/>
  </r>
  <r>
    <x v="4"/>
    <x v="0"/>
    <n v="2750"/>
    <n v="2750"/>
    <n v="89"/>
    <n v="2661"/>
    <x v="0"/>
    <n v="2750"/>
  </r>
  <r>
    <x v="4"/>
    <x v="0"/>
    <n v="3000"/>
    <n v="3000"/>
    <n v="362"/>
    <n v="2638"/>
    <x v="0"/>
    <n v="3000"/>
  </r>
  <r>
    <x v="4"/>
    <x v="8"/>
    <n v="150"/>
    <n v="150"/>
    <n v="109"/>
    <n v="41"/>
    <x v="5"/>
    <n v="150"/>
  </r>
  <r>
    <x v="4"/>
    <x v="0"/>
    <n v="16000"/>
    <n v="16000"/>
    <n v="1235"/>
    <n v="14765"/>
    <x v="0"/>
    <n v="16000"/>
  </r>
  <r>
    <x v="4"/>
    <x v="0"/>
    <n v="200"/>
    <n v="200"/>
    <n v="117"/>
    <n v="83"/>
    <x v="0"/>
    <n v="200"/>
  </r>
  <r>
    <x v="4"/>
    <x v="0"/>
    <n v="1000"/>
    <n v="1000"/>
    <n v="350"/>
    <n v="650"/>
    <x v="0"/>
    <n v="1000"/>
  </r>
  <r>
    <x v="4"/>
    <x v="6"/>
    <n v="1"/>
    <n v="1"/>
    <n v="1"/>
    <m/>
    <x v="1"/>
    <n v="1"/>
  </r>
  <r>
    <x v="4"/>
    <x v="13"/>
    <n v="3200"/>
    <n v="3200"/>
    <n v="2235"/>
    <n v="965"/>
    <x v="1"/>
    <n v="3200"/>
  </r>
  <r>
    <x v="4"/>
    <x v="4"/>
    <n v="106000"/>
    <n v="106000"/>
    <n v="23000"/>
    <n v="83000"/>
    <x v="3"/>
    <n v="106000"/>
  </r>
  <r>
    <x v="4"/>
    <x v="6"/>
    <n v="3000"/>
    <n v="3000"/>
    <n v="1538"/>
    <n v="1462"/>
    <x v="1"/>
    <n v="3000"/>
  </r>
  <r>
    <x v="4"/>
    <x v="6"/>
    <n v="5000"/>
    <n v="5000"/>
    <n v="2800"/>
    <n v="2200"/>
    <x v="1"/>
    <n v="5000"/>
  </r>
  <r>
    <x v="4"/>
    <x v="6"/>
    <n v="5000"/>
    <n v="5000"/>
    <n v="300"/>
    <n v="4700"/>
    <x v="1"/>
    <n v="5000"/>
  </r>
  <r>
    <x v="4"/>
    <x v="14"/>
    <n v="700"/>
    <n v="700"/>
    <n v="500"/>
    <n v="200"/>
    <x v="3"/>
    <n v="700"/>
  </r>
  <r>
    <x v="4"/>
    <x v="14"/>
    <n v="5000"/>
    <n v="5000"/>
    <n v="300"/>
    <n v="4700"/>
    <x v="3"/>
    <n v="5000"/>
  </r>
  <r>
    <x v="4"/>
    <x v="29"/>
    <n v="3800"/>
    <n v="3800"/>
    <n v="1000"/>
    <n v="2800"/>
    <x v="4"/>
    <n v="3800"/>
  </r>
  <r>
    <x v="4"/>
    <x v="6"/>
    <n v="6000"/>
    <n v="6000"/>
    <n v="2600"/>
    <n v="3400"/>
    <x v="1"/>
    <n v="6000"/>
  </r>
  <r>
    <x v="4"/>
    <x v="6"/>
    <n v="2900"/>
    <n v="2900"/>
    <n v="900"/>
    <n v="2000"/>
    <x v="1"/>
    <n v="2900"/>
  </r>
  <r>
    <x v="4"/>
    <x v="6"/>
    <n v="4700"/>
    <n v="4700"/>
    <n v="2700"/>
    <n v="2000"/>
    <x v="1"/>
    <n v="4700"/>
  </r>
  <r>
    <x v="4"/>
    <x v="6"/>
    <n v="5500"/>
    <n v="5500"/>
    <n v="2500"/>
    <n v="3000"/>
    <x v="1"/>
    <n v="5500"/>
  </r>
  <r>
    <x v="4"/>
    <x v="25"/>
    <n v="3500"/>
    <n v="3500"/>
    <n v="1500"/>
    <n v="2000"/>
    <x v="4"/>
    <n v="3500"/>
  </r>
  <r>
    <x v="4"/>
    <x v="25"/>
    <n v="4000"/>
    <n v="4000"/>
    <n v="2800"/>
    <n v="1200"/>
    <x v="4"/>
    <n v="4000"/>
  </r>
  <r>
    <x v="4"/>
    <x v="17"/>
    <n v="3000"/>
    <n v="3000"/>
    <n v="500"/>
    <n v="2500"/>
    <x v="5"/>
    <n v="3000"/>
  </r>
  <r>
    <x v="4"/>
    <x v="4"/>
    <n v="2400"/>
    <n v="2400"/>
    <n v="900"/>
    <n v="1500"/>
    <x v="3"/>
    <n v="2400"/>
  </r>
  <r>
    <x v="4"/>
    <x v="4"/>
    <n v="1500"/>
    <n v="1500"/>
    <n v="600"/>
    <n v="900"/>
    <x v="3"/>
    <n v="1500"/>
  </r>
  <r>
    <x v="4"/>
    <x v="4"/>
    <n v="2800"/>
    <n v="2800"/>
    <n v="900"/>
    <n v="1900"/>
    <x v="3"/>
    <n v="2800"/>
  </r>
  <r>
    <x v="4"/>
    <x v="4"/>
    <n v="6000"/>
    <n v="6000"/>
    <n v="2500"/>
    <n v="3500"/>
    <x v="3"/>
    <n v="6000"/>
  </r>
  <r>
    <x v="4"/>
    <x v="4"/>
    <n v="5400"/>
    <n v="5400"/>
    <n v="1450"/>
    <n v="3950"/>
    <x v="3"/>
    <n v="5400"/>
  </r>
  <r>
    <x v="4"/>
    <x v="0"/>
    <n v="4900"/>
    <n v="4900"/>
    <n v="1100"/>
    <n v="3800"/>
    <x v="0"/>
    <n v="4900"/>
  </r>
  <r>
    <x v="4"/>
    <x v="0"/>
    <n v="4500"/>
    <n v="4500"/>
    <n v="700"/>
    <n v="3800"/>
    <x v="0"/>
    <n v="4500"/>
  </r>
  <r>
    <x v="4"/>
    <x v="17"/>
    <n v="5000"/>
    <n v="5000"/>
    <n v="2300"/>
    <n v="2700"/>
    <x v="5"/>
    <n v="5000"/>
  </r>
  <r>
    <x v="4"/>
    <x v="11"/>
    <n v="3300"/>
    <n v="3300"/>
    <n v="1300"/>
    <n v="2000"/>
    <x v="2"/>
    <n v="3300"/>
  </r>
  <r>
    <x v="4"/>
    <x v="11"/>
    <n v="3500"/>
    <n v="3500"/>
    <n v="800"/>
    <n v="2700"/>
    <x v="2"/>
    <n v="3500"/>
  </r>
  <r>
    <x v="4"/>
    <x v="11"/>
    <n v="15"/>
    <n v="15"/>
    <n v="12"/>
    <n v="3"/>
    <x v="2"/>
    <n v="15"/>
  </r>
  <r>
    <x v="4"/>
    <x v="4"/>
    <n v="2500"/>
    <n v="2500"/>
    <n v="600"/>
    <n v="1900"/>
    <x v="3"/>
    <n v="2500"/>
  </r>
  <r>
    <x v="4"/>
    <x v="14"/>
    <n v="6000"/>
    <n v="6000"/>
    <n v="2330"/>
    <n v="3670"/>
    <x v="3"/>
    <n v="6000"/>
  </r>
  <r>
    <x v="4"/>
    <x v="29"/>
    <n v="20"/>
    <n v="20"/>
    <n v="5"/>
    <n v="15"/>
    <x v="4"/>
    <n v="20"/>
  </r>
  <r>
    <x v="4"/>
    <x v="6"/>
    <n v="5000"/>
    <n v="5000"/>
    <n v="1000"/>
    <n v="4000"/>
    <x v="1"/>
    <n v="5000"/>
  </r>
  <r>
    <x v="4"/>
    <x v="1"/>
    <n v="4000"/>
    <n v="4000"/>
    <n v="2300"/>
    <n v="1700"/>
    <x v="1"/>
    <n v="4000"/>
  </r>
  <r>
    <x v="4"/>
    <x v="1"/>
    <n v="70000"/>
    <n v="70000"/>
    <n v="60504"/>
    <n v="9496"/>
    <x v="1"/>
    <n v="70000"/>
  </r>
  <r>
    <x v="4"/>
    <x v="13"/>
    <n v="200"/>
    <n v="200"/>
    <n v="20"/>
    <n v="180"/>
    <x v="1"/>
    <n v="200"/>
  </r>
  <r>
    <x v="4"/>
    <x v="13"/>
    <n v="600"/>
    <n v="600"/>
    <n v="85"/>
    <n v="515"/>
    <x v="1"/>
    <n v="600"/>
  </r>
  <r>
    <x v="4"/>
    <x v="23"/>
    <n v="2500"/>
    <n v="2500"/>
    <n v="800"/>
    <n v="1700"/>
    <x v="4"/>
    <n v="2500"/>
  </r>
  <r>
    <x v="4"/>
    <x v="1"/>
    <n v="9500"/>
    <n v="9500"/>
    <n v="5451"/>
    <n v="4049"/>
    <x v="1"/>
    <n v="9500"/>
  </r>
  <r>
    <x v="4"/>
    <x v="1"/>
    <n v="3000"/>
    <n v="3000"/>
    <n v="510"/>
    <n v="2490"/>
    <x v="1"/>
    <n v="3000"/>
  </r>
  <r>
    <x v="4"/>
    <x v="1"/>
    <n v="90000"/>
    <n v="90000"/>
    <n v="2000"/>
    <n v="88000"/>
    <x v="1"/>
    <n v="90000"/>
  </r>
  <r>
    <x v="4"/>
    <x v="1"/>
    <n v="33000"/>
    <n v="33000"/>
    <n v="3000"/>
    <n v="30000"/>
    <x v="1"/>
    <n v="33000"/>
  </r>
  <r>
    <x v="4"/>
    <x v="1"/>
    <n v="450"/>
    <n v="450"/>
    <n v="30"/>
    <n v="420"/>
    <x v="1"/>
    <n v="450"/>
  </r>
  <r>
    <x v="4"/>
    <x v="0"/>
    <n v="600"/>
    <n v="600"/>
    <n v="520"/>
    <n v="80"/>
    <x v="0"/>
    <n v="600"/>
  </r>
  <r>
    <x v="4"/>
    <x v="13"/>
    <n v="6200"/>
    <n v="6200"/>
    <n v="1500"/>
    <n v="4700"/>
    <x v="1"/>
    <n v="6200"/>
  </r>
  <r>
    <x v="4"/>
    <x v="13"/>
    <n v="1100"/>
    <n v="1100"/>
    <n v="400"/>
    <n v="700"/>
    <x v="1"/>
    <n v="1100"/>
  </r>
  <r>
    <x v="4"/>
    <x v="4"/>
    <n v="2000"/>
    <n v="2000"/>
    <n v="160"/>
    <n v="1840"/>
    <x v="3"/>
    <n v="2000"/>
  </r>
  <r>
    <x v="4"/>
    <x v="4"/>
    <n v="3664"/>
    <n v="3664"/>
    <n v="894"/>
    <n v="2770"/>
    <x v="3"/>
    <n v="3664"/>
  </r>
  <r>
    <x v="4"/>
    <x v="4"/>
    <n v="800"/>
    <n v="800"/>
    <n v="350"/>
    <n v="450"/>
    <x v="3"/>
    <n v="800"/>
  </r>
  <r>
    <x v="4"/>
    <x v="11"/>
    <n v="800"/>
    <n v="800"/>
    <n v="369"/>
    <n v="431"/>
    <x v="2"/>
    <n v="800"/>
  </r>
  <r>
    <x v="4"/>
    <x v="1"/>
    <n v="3000"/>
    <n v="3000"/>
    <n v="800"/>
    <n v="2200"/>
    <x v="1"/>
    <n v="3000"/>
  </r>
  <r>
    <x v="4"/>
    <x v="1"/>
    <n v="25000"/>
    <n v="25000"/>
    <n v="22200"/>
    <n v="2800"/>
    <x v="1"/>
    <n v="25000"/>
  </r>
  <r>
    <x v="4"/>
    <x v="30"/>
    <n v="4964"/>
    <n v="4964"/>
    <n v="3964"/>
    <n v="1000"/>
    <x v="1"/>
    <n v="4964"/>
  </r>
  <r>
    <x v="4"/>
    <x v="14"/>
    <n v="100"/>
    <n v="100"/>
    <n v="66"/>
    <n v="34"/>
    <x v="3"/>
    <n v="100"/>
  </r>
  <r>
    <x v="4"/>
    <x v="20"/>
    <n v="1800"/>
    <n v="1800"/>
    <n v="500"/>
    <n v="1300"/>
    <x v="2"/>
    <n v="1800"/>
  </r>
  <r>
    <x v="4"/>
    <x v="1"/>
    <n v="800"/>
    <n v="800"/>
    <n v="600"/>
    <n v="200"/>
    <x v="1"/>
    <n v="800"/>
  </r>
  <r>
    <x v="4"/>
    <x v="1"/>
    <n v="14"/>
    <n v="14"/>
    <n v="5"/>
    <n v="9"/>
    <x v="1"/>
    <n v="14"/>
  </r>
  <r>
    <x v="4"/>
    <x v="14"/>
    <n v="3043"/>
    <n v="3043"/>
    <n v="370"/>
    <n v="2673"/>
    <x v="3"/>
    <n v="3043"/>
  </r>
  <r>
    <x v="4"/>
    <x v="1"/>
    <n v="2529"/>
    <n v="2529"/>
    <n v="245"/>
    <n v="2284"/>
    <x v="1"/>
    <n v="2529"/>
  </r>
  <r>
    <x v="4"/>
    <x v="5"/>
    <n v="1000"/>
    <n v="1000"/>
    <n v="200"/>
    <n v="800"/>
    <x v="3"/>
    <n v="1000"/>
  </r>
  <r>
    <x v="4"/>
    <x v="5"/>
    <n v="1200"/>
    <n v="1200"/>
    <n v="500"/>
    <n v="700"/>
    <x v="3"/>
    <n v="1200"/>
  </r>
  <r>
    <x v="4"/>
    <x v="5"/>
    <n v="65480"/>
    <n v="65480"/>
    <n v="8826"/>
    <n v="56654"/>
    <x v="3"/>
    <n v="65480"/>
  </r>
  <r>
    <x v="4"/>
    <x v="5"/>
    <n v="51995"/>
    <n v="51995"/>
    <n v="4770"/>
    <n v="47225"/>
    <x v="3"/>
    <n v="51995"/>
  </r>
  <r>
    <x v="4"/>
    <x v="1"/>
    <n v="33756"/>
    <n v="33755"/>
    <n v="488"/>
    <n v="33268"/>
    <x v="1"/>
    <n v="33756"/>
  </r>
  <r>
    <x v="4"/>
    <x v="1"/>
    <n v="4000"/>
    <n v="4000"/>
    <n v="185"/>
    <n v="3815"/>
    <x v="1"/>
    <n v="4000"/>
  </r>
  <r>
    <x v="4"/>
    <x v="1"/>
    <n v="2750"/>
    <n v="2750"/>
    <n v="650"/>
    <n v="2100"/>
    <x v="1"/>
    <n v="2750"/>
  </r>
  <r>
    <x v="4"/>
    <x v="16"/>
    <n v="2785"/>
    <n v="2785"/>
    <n v="402"/>
    <n v="2383"/>
    <x v="1"/>
    <n v="2785"/>
  </r>
  <r>
    <x v="4"/>
    <x v="16"/>
    <n v="3627"/>
    <n v="3627"/>
    <n v="441"/>
    <n v="3186"/>
    <x v="1"/>
    <n v="3627"/>
  </r>
  <r>
    <x v="4"/>
    <x v="31"/>
    <n v="2000"/>
    <n v="2000"/>
    <n v="687"/>
    <n v="1313"/>
    <x v="5"/>
    <n v="2000"/>
  </r>
  <r>
    <x v="4"/>
    <x v="1"/>
    <n v="1500"/>
    <n v="1500"/>
    <n v="100"/>
    <n v="1400"/>
    <x v="1"/>
    <n v="1500"/>
  </r>
  <r>
    <x v="4"/>
    <x v="1"/>
    <n v="3000"/>
    <n v="3000"/>
    <n v="200"/>
    <n v="2800"/>
    <x v="1"/>
    <n v="3000"/>
  </r>
  <r>
    <x v="4"/>
    <x v="23"/>
    <n v="9000"/>
    <n v="9000"/>
    <n v="3000"/>
    <n v="6000"/>
    <x v="4"/>
    <n v="9000"/>
  </r>
  <r>
    <x v="4"/>
    <x v="5"/>
    <n v="100"/>
    <n v="100"/>
    <n v="15"/>
    <n v="85"/>
    <x v="3"/>
    <n v="100"/>
  </r>
  <r>
    <x v="4"/>
    <x v="14"/>
    <n v="3000"/>
    <n v="2800"/>
    <n v="200"/>
    <n v="2800"/>
    <x v="3"/>
    <n v="3000"/>
  </r>
  <r>
    <x v="4"/>
    <x v="16"/>
    <n v="2507"/>
    <n v="2507"/>
    <n v="325"/>
    <n v="2182"/>
    <x v="1"/>
    <n v="2507"/>
  </r>
  <r>
    <x v="4"/>
    <x v="3"/>
    <n v="1500"/>
    <n v="1500"/>
    <n v="300"/>
    <n v="1200"/>
    <x v="2"/>
    <n v="1500"/>
  </r>
  <r>
    <x v="4"/>
    <x v="8"/>
    <n v="1000"/>
    <n v="1000"/>
    <n v="100"/>
    <n v="900"/>
    <x v="5"/>
    <n v="1000"/>
  </r>
  <r>
    <x v="4"/>
    <x v="1"/>
    <n v="1729"/>
    <n v="1729"/>
    <n v="100"/>
    <n v="1629"/>
    <x v="1"/>
    <n v="1729"/>
  </r>
  <r>
    <x v="4"/>
    <x v="5"/>
    <n v="12"/>
    <n v="12"/>
    <n v="4"/>
    <n v="8"/>
    <x v="3"/>
    <n v="12"/>
  </r>
  <r>
    <x v="4"/>
    <x v="16"/>
    <n v="800"/>
    <n v="800"/>
    <n v="300"/>
    <n v="500"/>
    <x v="1"/>
    <n v="800"/>
  </r>
  <r>
    <x v="4"/>
    <x v="16"/>
    <n v="2000"/>
    <n v="2000"/>
    <n v="1000"/>
    <n v="1000"/>
    <x v="1"/>
    <n v="2000"/>
  </r>
  <r>
    <x v="4"/>
    <x v="11"/>
    <n v="1500"/>
    <n v="1500"/>
    <n v="802"/>
    <n v="698"/>
    <x v="2"/>
    <n v="1500"/>
  </r>
  <r>
    <x v="4"/>
    <x v="22"/>
    <n v="500"/>
    <n v="500"/>
    <n v="350"/>
    <n v="150"/>
    <x v="2"/>
    <n v="500"/>
  </r>
  <r>
    <x v="4"/>
    <x v="22"/>
    <n v="2000"/>
    <n v="2000"/>
    <n v="1200"/>
    <n v="800"/>
    <x v="2"/>
    <n v="2000"/>
  </r>
  <r>
    <x v="4"/>
    <x v="22"/>
    <n v="4500"/>
    <n v="4500"/>
    <n v="1000"/>
    <n v="3500"/>
    <x v="2"/>
    <n v="4500"/>
  </r>
  <r>
    <x v="4"/>
    <x v="18"/>
    <n v="1500"/>
    <n v="1500"/>
    <n v="120"/>
    <n v="1380"/>
    <x v="0"/>
    <n v="1500"/>
  </r>
  <r>
    <x v="4"/>
    <x v="18"/>
    <n v="1500"/>
    <n v="1500"/>
    <n v="1500"/>
    <m/>
    <x v="0"/>
    <n v="1500"/>
  </r>
  <r>
    <x v="4"/>
    <x v="17"/>
    <n v="1980"/>
    <n v="1980"/>
    <n v="1584"/>
    <n v="396"/>
    <x v="5"/>
    <n v="1980"/>
  </r>
  <r>
    <x v="4"/>
    <x v="8"/>
    <n v="27600"/>
    <n v="27600"/>
    <n v="1825"/>
    <n v="25775"/>
    <x v="5"/>
    <n v="27600"/>
  </r>
  <r>
    <x v="4"/>
    <x v="8"/>
    <n v="500"/>
    <n v="500"/>
    <n v="60"/>
    <n v="440"/>
    <x v="5"/>
    <n v="500"/>
  </r>
  <r>
    <x v="4"/>
    <x v="8"/>
    <n v="6250"/>
    <n v="6250"/>
    <n v="500"/>
    <n v="5750"/>
    <x v="5"/>
    <n v="6250"/>
  </r>
  <r>
    <x v="4"/>
    <x v="8"/>
    <n v="6200"/>
    <n v="6200"/>
    <n v="407"/>
    <n v="5793"/>
    <x v="5"/>
    <n v="6200"/>
  </r>
  <r>
    <x v="4"/>
    <x v="8"/>
    <n v="1500"/>
    <n v="1500"/>
    <n v="10"/>
    <n v="1490"/>
    <x v="5"/>
    <n v="1500"/>
  </r>
  <r>
    <x v="4"/>
    <x v="8"/>
    <n v="2000"/>
    <n v="2000"/>
    <n v="16"/>
    <n v="1984"/>
    <x v="5"/>
    <n v="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
  <r>
    <x v="0"/>
    <x v="0"/>
    <n v="50"/>
    <n v="50"/>
    <n v="7"/>
    <n v="43"/>
    <x v="0"/>
  </r>
  <r>
    <x v="1"/>
    <x v="1"/>
    <n v="1590"/>
    <n v="1590"/>
    <n v="1590"/>
    <m/>
    <x v="1"/>
  </r>
  <r>
    <x v="1"/>
    <x v="2"/>
    <n v="14"/>
    <n v="14"/>
    <n v="10"/>
    <n v="4"/>
    <x v="0"/>
  </r>
  <r>
    <x v="1"/>
    <x v="3"/>
    <n v="2"/>
    <n v="2"/>
    <n v="2"/>
    <m/>
    <x v="2"/>
  </r>
  <r>
    <x v="1"/>
    <x v="3"/>
    <n v="2500"/>
    <n v="2500"/>
    <n v="27"/>
    <n v="2473"/>
    <x v="2"/>
  </r>
  <r>
    <x v="2"/>
    <x v="4"/>
    <n v="5098"/>
    <n v="5098"/>
    <n v="1878"/>
    <n v="3220"/>
    <x v="3"/>
  </r>
  <r>
    <x v="2"/>
    <x v="5"/>
    <n v="6500"/>
    <n v="6500"/>
    <n v="1000"/>
    <n v="5500"/>
    <x v="3"/>
  </r>
  <r>
    <x v="2"/>
    <x v="6"/>
    <n v="1800"/>
    <n v="1800"/>
    <n v="150"/>
    <n v="1650"/>
    <x v="1"/>
  </r>
  <r>
    <x v="2"/>
    <x v="0"/>
    <n v="2000"/>
    <n v="2000"/>
    <n v="45"/>
    <n v="1955"/>
    <x v="0"/>
  </r>
  <r>
    <x v="2"/>
    <x v="0"/>
    <n v="2700"/>
    <n v="2700"/>
    <n v="300"/>
    <n v="2400"/>
    <x v="0"/>
  </r>
  <r>
    <x v="2"/>
    <x v="7"/>
    <n v="1000"/>
    <n v="1000"/>
    <n v="175"/>
    <n v="825"/>
    <x v="4"/>
  </r>
  <r>
    <x v="2"/>
    <x v="0"/>
    <n v="420"/>
    <n v="420"/>
    <n v="4"/>
    <n v="416"/>
    <x v="0"/>
  </r>
  <r>
    <x v="2"/>
    <x v="8"/>
    <n v="1000"/>
    <n v="1000"/>
    <n v="200"/>
    <n v="800"/>
    <x v="5"/>
  </r>
  <r>
    <x v="2"/>
    <x v="0"/>
    <n v="10700"/>
    <n v="10700"/>
    <n v="2700"/>
    <n v="8000"/>
    <x v="0"/>
  </r>
  <r>
    <x v="2"/>
    <x v="3"/>
    <n v="1000"/>
    <n v="1000"/>
    <n v="180"/>
    <n v="820"/>
    <x v="2"/>
  </r>
  <r>
    <x v="2"/>
    <x v="9"/>
    <n v="609"/>
    <n v="609"/>
    <n v="305"/>
    <n v="304"/>
    <x v="3"/>
  </r>
  <r>
    <x v="2"/>
    <x v="10"/>
    <n v="1200"/>
    <n v="1200"/>
    <n v="96"/>
    <n v="1104"/>
    <x v="0"/>
  </r>
  <r>
    <x v="2"/>
    <x v="10"/>
    <n v="40000"/>
    <n v="40000"/>
    <n v="11300"/>
    <n v="28700"/>
    <x v="0"/>
  </r>
  <r>
    <x v="2"/>
    <x v="0"/>
    <n v="230"/>
    <n v="230"/>
    <n v="25"/>
    <n v="205"/>
    <x v="0"/>
  </r>
  <r>
    <x v="2"/>
    <x v="0"/>
    <n v="2100"/>
    <n v="2100"/>
    <n v="790"/>
    <n v="1310"/>
    <x v="0"/>
  </r>
  <r>
    <x v="2"/>
    <x v="0"/>
    <n v="3200"/>
    <n v="3200"/>
    <n v="60"/>
    <n v="3140"/>
    <x v="0"/>
  </r>
  <r>
    <x v="2"/>
    <x v="0"/>
    <n v="491"/>
    <n v="491"/>
    <n v="200"/>
    <n v="291"/>
    <x v="0"/>
  </r>
  <r>
    <x v="2"/>
    <x v="0"/>
    <n v="3900"/>
    <n v="3900"/>
    <n v="1900"/>
    <n v="2000"/>
    <x v="0"/>
  </r>
  <r>
    <x v="3"/>
    <x v="11"/>
    <n v="300"/>
    <n v="300"/>
    <n v="300"/>
    <m/>
    <x v="2"/>
  </r>
  <r>
    <x v="3"/>
    <x v="1"/>
    <n v="3200"/>
    <n v="3200"/>
    <n v="3200"/>
    <m/>
    <x v="1"/>
  </r>
  <r>
    <x v="3"/>
    <x v="12"/>
    <n v="700"/>
    <n v="700"/>
    <n v="500"/>
    <n v="200"/>
    <x v="0"/>
  </r>
  <r>
    <x v="3"/>
    <x v="1"/>
    <n v="2850"/>
    <n v="2850"/>
    <n v="2000"/>
    <n v="850"/>
    <x v="1"/>
  </r>
  <r>
    <x v="3"/>
    <x v="1"/>
    <n v="1350"/>
    <n v="1350"/>
    <n v="1350"/>
    <m/>
    <x v="1"/>
  </r>
  <r>
    <x v="3"/>
    <x v="1"/>
    <n v="5500"/>
    <n v="5500"/>
    <n v="5497"/>
    <n v="3"/>
    <x v="1"/>
  </r>
  <r>
    <x v="3"/>
    <x v="1"/>
    <n v="1200"/>
    <n v="1200"/>
    <n v="1150"/>
    <n v="50"/>
    <x v="1"/>
  </r>
  <r>
    <x v="3"/>
    <x v="1"/>
    <n v="3700"/>
    <n v="3700"/>
    <n v="915"/>
    <n v="2785"/>
    <x v="1"/>
  </r>
  <r>
    <x v="3"/>
    <x v="13"/>
    <n v="1500"/>
    <n v="1500"/>
    <n v="500"/>
    <n v="1000"/>
    <x v="1"/>
  </r>
  <r>
    <x v="3"/>
    <x v="14"/>
    <n v="2000"/>
    <n v="2000"/>
    <n v="500"/>
    <n v="1500"/>
    <x v="3"/>
  </r>
  <r>
    <x v="3"/>
    <x v="15"/>
    <n v="350"/>
    <n v="350"/>
    <n v="245"/>
    <n v="105"/>
    <x v="3"/>
  </r>
  <r>
    <x v="3"/>
    <x v="1"/>
    <n v="3500"/>
    <n v="3500"/>
    <n v="3500"/>
    <m/>
    <x v="1"/>
  </r>
  <r>
    <x v="3"/>
    <x v="1"/>
    <n v="3920"/>
    <n v="3920"/>
    <n v="3920"/>
    <m/>
    <x v="1"/>
  </r>
  <r>
    <x v="3"/>
    <x v="1"/>
    <n v="3400"/>
    <n v="3400"/>
    <n v="3400"/>
    <m/>
    <x v="1"/>
  </r>
  <r>
    <x v="3"/>
    <x v="1"/>
    <n v="1000"/>
    <n v="1000"/>
    <n v="1000"/>
    <m/>
    <x v="1"/>
  </r>
  <r>
    <x v="3"/>
    <x v="1"/>
    <n v="3000"/>
    <n v="3000"/>
    <n v="3000"/>
    <m/>
    <x v="1"/>
  </r>
  <r>
    <x v="3"/>
    <x v="1"/>
    <n v="2500"/>
    <n v="2500"/>
    <n v="2500"/>
    <m/>
    <x v="1"/>
  </r>
  <r>
    <x v="4"/>
    <x v="13"/>
    <n v="2200"/>
    <n v="2200"/>
    <n v="850"/>
    <n v="1350"/>
    <x v="1"/>
  </r>
  <r>
    <x v="3"/>
    <x v="5"/>
    <n v="2670"/>
    <n v="2670"/>
    <n v="5"/>
    <n v="2665"/>
    <x v="3"/>
  </r>
  <r>
    <x v="3"/>
    <x v="5"/>
    <n v="2795"/>
    <n v="2795"/>
    <n v="62"/>
    <n v="2733"/>
    <x v="3"/>
  </r>
  <r>
    <x v="3"/>
    <x v="5"/>
    <n v="2500"/>
    <n v="2500"/>
    <n v="32"/>
    <n v="2468"/>
    <x v="3"/>
  </r>
  <r>
    <x v="3"/>
    <x v="5"/>
    <n v="2500"/>
    <n v="2500"/>
    <n v="250"/>
    <n v="2250"/>
    <x v="3"/>
  </r>
  <r>
    <x v="3"/>
    <x v="5"/>
    <n v="2330"/>
    <n v="2330"/>
    <n v="58"/>
    <n v="2272"/>
    <x v="3"/>
  </r>
  <r>
    <x v="3"/>
    <x v="5"/>
    <n v="2960"/>
    <n v="2960"/>
    <n v="100"/>
    <n v="2860"/>
    <x v="3"/>
  </r>
  <r>
    <x v="4"/>
    <x v="1"/>
    <n v="28520"/>
    <n v="28520"/>
    <n v="25020"/>
    <n v="3500"/>
    <x v="1"/>
  </r>
  <r>
    <x v="4"/>
    <x v="1"/>
    <n v="50000"/>
    <n v="50000"/>
    <n v="7000"/>
    <n v="43000"/>
    <x v="1"/>
  </r>
  <r>
    <x v="4"/>
    <x v="1"/>
    <n v="3500"/>
    <n v="3500"/>
    <n v="2050"/>
    <n v="1450"/>
    <x v="1"/>
  </r>
  <r>
    <x v="3"/>
    <x v="0"/>
    <n v="1100"/>
    <n v="1100"/>
    <n v="520"/>
    <n v="580"/>
    <x v="0"/>
  </r>
  <r>
    <x v="3"/>
    <x v="3"/>
    <n v="30000"/>
    <n v="30000"/>
    <n v="12000"/>
    <n v="18000"/>
    <x v="2"/>
  </r>
  <r>
    <x v="3"/>
    <x v="6"/>
    <n v="1450"/>
    <n v="1450"/>
    <n v="825"/>
    <n v="625"/>
    <x v="1"/>
  </r>
  <r>
    <x v="3"/>
    <x v="1"/>
    <n v="3200"/>
    <n v="3200"/>
    <n v="1100"/>
    <n v="2100"/>
    <x v="1"/>
  </r>
  <r>
    <x v="3"/>
    <x v="5"/>
    <n v="2950"/>
    <n v="2950"/>
    <n v="88"/>
    <n v="2862"/>
    <x v="3"/>
  </r>
  <r>
    <x v="3"/>
    <x v="4"/>
    <n v="850"/>
    <n v="850"/>
    <n v="850"/>
    <m/>
    <x v="3"/>
  </r>
  <r>
    <x v="3"/>
    <x v="4"/>
    <n v="2400"/>
    <n v="2400"/>
    <n v="1320"/>
    <n v="1080"/>
    <x v="3"/>
  </r>
  <r>
    <x v="3"/>
    <x v="13"/>
    <n v="2500"/>
    <n v="2500"/>
    <n v="241"/>
    <n v="2259"/>
    <x v="1"/>
  </r>
  <r>
    <x v="3"/>
    <x v="16"/>
    <n v="2700"/>
    <n v="2700"/>
    <n v="300"/>
    <n v="2400"/>
    <x v="1"/>
  </r>
  <r>
    <x v="3"/>
    <x v="16"/>
    <n v="2350"/>
    <n v="2350"/>
    <n v="200"/>
    <n v="2150"/>
    <x v="1"/>
  </r>
  <r>
    <x v="3"/>
    <x v="16"/>
    <n v="3000"/>
    <n v="3000"/>
    <n v="300"/>
    <n v="2700"/>
    <x v="1"/>
  </r>
  <r>
    <x v="3"/>
    <x v="13"/>
    <n v="2850"/>
    <n v="2850"/>
    <n v="400"/>
    <n v="2450"/>
    <x v="1"/>
  </r>
  <r>
    <x v="3"/>
    <x v="13"/>
    <n v="2019"/>
    <n v="2019"/>
    <n v="409"/>
    <n v="1610"/>
    <x v="1"/>
  </r>
  <r>
    <x v="3"/>
    <x v="1"/>
    <n v="3950"/>
    <n v="3950"/>
    <n v="1451"/>
    <n v="2499"/>
    <x v="1"/>
  </r>
  <r>
    <x v="3"/>
    <x v="1"/>
    <n v="5534"/>
    <n v="5534"/>
    <n v="2310"/>
    <n v="3224"/>
    <x v="1"/>
  </r>
  <r>
    <x v="3"/>
    <x v="1"/>
    <n v="2000"/>
    <n v="2000"/>
    <n v="1205"/>
    <n v="795"/>
    <x v="1"/>
  </r>
  <r>
    <x v="3"/>
    <x v="1"/>
    <n v="2000"/>
    <n v="2000"/>
    <n v="352"/>
    <n v="1648"/>
    <x v="1"/>
  </r>
  <r>
    <x v="3"/>
    <x v="1"/>
    <n v="1200"/>
    <n v="1200"/>
    <n v="817"/>
    <n v="383"/>
    <x v="1"/>
  </r>
  <r>
    <x v="3"/>
    <x v="16"/>
    <n v="1000"/>
    <n v="1000"/>
    <n v="449"/>
    <n v="551"/>
    <x v="1"/>
  </r>
  <r>
    <x v="3"/>
    <x v="17"/>
    <n v="150"/>
    <n v="150"/>
    <n v="150"/>
    <m/>
    <x v="5"/>
  </r>
  <r>
    <x v="3"/>
    <x v="17"/>
    <n v="26"/>
    <n v="26"/>
    <n v="26"/>
    <m/>
    <x v="5"/>
  </r>
  <r>
    <x v="3"/>
    <x v="17"/>
    <n v="82"/>
    <n v="82"/>
    <n v="82"/>
    <m/>
    <x v="5"/>
  </r>
  <r>
    <x v="3"/>
    <x v="17"/>
    <n v="126"/>
    <n v="126"/>
    <n v="104"/>
    <n v="22"/>
    <x v="5"/>
  </r>
  <r>
    <x v="3"/>
    <x v="17"/>
    <n v="3500"/>
    <n v="3500"/>
    <n v="350"/>
    <n v="3150"/>
    <x v="5"/>
  </r>
  <r>
    <x v="3"/>
    <x v="17"/>
    <n v="3200"/>
    <n v="3200"/>
    <n v="907"/>
    <n v="2293"/>
    <x v="5"/>
  </r>
  <r>
    <x v="3"/>
    <x v="5"/>
    <n v="60"/>
    <n v="60"/>
    <n v="10"/>
    <n v="50"/>
    <x v="3"/>
  </r>
  <r>
    <x v="3"/>
    <x v="5"/>
    <n v="50"/>
    <n v="50"/>
    <n v="5"/>
    <n v="45"/>
    <x v="3"/>
  </r>
  <r>
    <x v="3"/>
    <x v="5"/>
    <n v="1420"/>
    <n v="1420"/>
    <n v="20"/>
    <n v="1400"/>
    <x v="3"/>
  </r>
  <r>
    <x v="3"/>
    <x v="5"/>
    <n v="1400"/>
    <n v="1400"/>
    <n v="50"/>
    <n v="1350"/>
    <x v="3"/>
  </r>
  <r>
    <x v="3"/>
    <x v="5"/>
    <n v="1200"/>
    <n v="1200"/>
    <n v="100"/>
    <n v="1100"/>
    <x v="3"/>
  </r>
  <r>
    <x v="3"/>
    <x v="4"/>
    <n v="90000"/>
    <n v="90000"/>
    <n v="6736"/>
    <n v="83264"/>
    <x v="3"/>
  </r>
  <r>
    <x v="3"/>
    <x v="17"/>
    <n v="14000"/>
    <n v="14000"/>
    <n v="4000"/>
    <n v="10000"/>
    <x v="5"/>
  </r>
  <r>
    <x v="3"/>
    <x v="0"/>
    <n v="12800"/>
    <n v="12800"/>
    <n v="800"/>
    <n v="12000"/>
    <x v="0"/>
  </r>
  <r>
    <x v="3"/>
    <x v="18"/>
    <n v="4000"/>
    <n v="4000"/>
    <n v="400"/>
    <n v="3600"/>
    <x v="0"/>
  </r>
  <r>
    <x v="3"/>
    <x v="18"/>
    <n v="49000"/>
    <n v="49000"/>
    <n v="600"/>
    <n v="48400"/>
    <x v="0"/>
  </r>
  <r>
    <x v="3"/>
    <x v="0"/>
    <n v="800"/>
    <n v="800"/>
    <n v="500"/>
    <n v="300"/>
    <x v="0"/>
  </r>
  <r>
    <x v="3"/>
    <x v="19"/>
    <n v="2000"/>
    <n v="2000"/>
    <n v="50"/>
    <n v="1950"/>
    <x v="2"/>
  </r>
  <r>
    <x v="3"/>
    <x v="0"/>
    <n v="2700"/>
    <n v="2700"/>
    <n v="500"/>
    <n v="2200"/>
    <x v="0"/>
  </r>
  <r>
    <x v="3"/>
    <x v="17"/>
    <n v="26"/>
    <n v="26"/>
    <n v="3"/>
    <n v="23"/>
    <x v="5"/>
  </r>
  <r>
    <x v="4"/>
    <x v="0"/>
    <n v="23"/>
    <n v="23"/>
    <n v="10"/>
    <n v="13"/>
    <x v="0"/>
  </r>
  <r>
    <x v="4"/>
    <x v="0"/>
    <n v="220"/>
    <n v="220"/>
    <n v="100"/>
    <n v="120"/>
    <x v="0"/>
  </r>
  <r>
    <x v="4"/>
    <x v="0"/>
    <n v="1000"/>
    <n v="1000"/>
    <n v="400"/>
    <n v="600"/>
    <x v="0"/>
  </r>
  <r>
    <x v="4"/>
    <x v="0"/>
    <n v="900"/>
    <n v="900"/>
    <n v="500"/>
    <n v="400"/>
    <x v="0"/>
  </r>
  <r>
    <x v="4"/>
    <x v="0"/>
    <n v="700"/>
    <n v="700"/>
    <n v="250"/>
    <n v="450"/>
    <x v="0"/>
  </r>
  <r>
    <x v="4"/>
    <x v="0"/>
    <n v="700"/>
    <n v="700"/>
    <n v="400"/>
    <n v="300"/>
    <x v="0"/>
  </r>
  <r>
    <x v="4"/>
    <x v="0"/>
    <n v="2918"/>
    <n v="2918"/>
    <n v="718"/>
    <n v="2200"/>
    <x v="0"/>
  </r>
  <r>
    <x v="4"/>
    <x v="0"/>
    <n v="2875"/>
    <n v="2875"/>
    <n v="820"/>
    <n v="2055"/>
    <x v="0"/>
  </r>
  <r>
    <x v="4"/>
    <x v="0"/>
    <n v="2912"/>
    <n v="2912"/>
    <n v="59"/>
    <n v="2853"/>
    <x v="0"/>
  </r>
  <r>
    <x v="4"/>
    <x v="0"/>
    <n v="2798"/>
    <n v="2798"/>
    <n v="134"/>
    <n v="2664"/>
    <x v="0"/>
  </r>
  <r>
    <x v="4"/>
    <x v="0"/>
    <n v="1800"/>
    <n v="1800"/>
    <n v="198"/>
    <n v="1602"/>
    <x v="0"/>
  </r>
  <r>
    <x v="4"/>
    <x v="0"/>
    <n v="1200"/>
    <n v="1200"/>
    <n v="120"/>
    <n v="1080"/>
    <x v="0"/>
  </r>
  <r>
    <x v="4"/>
    <x v="0"/>
    <n v="194"/>
    <n v="194"/>
    <n v="14"/>
    <n v="180"/>
    <x v="0"/>
  </r>
  <r>
    <x v="4"/>
    <x v="8"/>
    <n v="400"/>
    <n v="400"/>
    <n v="80"/>
    <n v="320"/>
    <x v="5"/>
  </r>
  <r>
    <x v="4"/>
    <x v="0"/>
    <n v="1800"/>
    <n v="1800"/>
    <n v="100"/>
    <n v="1700"/>
    <x v="0"/>
  </r>
  <r>
    <x v="4"/>
    <x v="0"/>
    <n v="200000"/>
    <n v="200000"/>
    <n v="9828"/>
    <n v="190172"/>
    <x v="0"/>
  </r>
  <r>
    <x v="4"/>
    <x v="0"/>
    <n v="42"/>
    <n v="42"/>
    <n v="8"/>
    <n v="34"/>
    <x v="0"/>
  </r>
  <r>
    <x v="4"/>
    <x v="0"/>
    <n v="2500"/>
    <n v="2500"/>
    <n v="100"/>
    <n v="2400"/>
    <x v="0"/>
  </r>
  <r>
    <x v="5"/>
    <x v="0"/>
    <n v="63"/>
    <n v="0"/>
    <n v="61"/>
    <n v="2"/>
    <x v="0"/>
  </r>
  <r>
    <x v="4"/>
    <x v="0"/>
    <n v="3675"/>
    <n v="268"/>
    <n v="153"/>
    <n v="3522"/>
    <x v="0"/>
  </r>
  <r>
    <x v="4"/>
    <x v="18"/>
    <n v="7505"/>
    <n v="600"/>
    <n v="416"/>
    <n v="7089"/>
    <x v="0"/>
  </r>
  <r>
    <x v="4"/>
    <x v="8"/>
    <n v="2446"/>
    <n v="400"/>
    <n v="126"/>
    <n v="2320"/>
    <x v="5"/>
  </r>
  <r>
    <x v="4"/>
    <x v="0"/>
    <n v="223"/>
    <n v="223"/>
    <n v="50"/>
    <n v="173"/>
    <x v="0"/>
  </r>
  <r>
    <x v="4"/>
    <x v="0"/>
    <n v="87"/>
    <n v="87"/>
    <n v="48"/>
    <n v="39"/>
    <x v="0"/>
  </r>
  <r>
    <x v="4"/>
    <x v="3"/>
    <n v="104510"/>
    <n v="104510"/>
    <n v="17405"/>
    <n v="87105"/>
    <x v="2"/>
  </r>
  <r>
    <x v="3"/>
    <x v="3"/>
    <n v="450"/>
    <n v="450"/>
    <n v="100"/>
    <n v="350"/>
    <x v="2"/>
  </r>
  <r>
    <x v="3"/>
    <x v="3"/>
    <n v="600"/>
    <n v="600"/>
    <n v="350"/>
    <n v="250"/>
    <x v="2"/>
  </r>
  <r>
    <x v="3"/>
    <x v="0"/>
    <n v="1700"/>
    <n v="1700"/>
    <n v="64"/>
    <n v="1636"/>
    <x v="0"/>
  </r>
  <r>
    <x v="3"/>
    <x v="0"/>
    <n v="1700"/>
    <n v="1700"/>
    <n v="950"/>
    <n v="750"/>
    <x v="0"/>
  </r>
  <r>
    <x v="3"/>
    <x v="0"/>
    <n v="2500"/>
    <n v="2500"/>
    <n v="200"/>
    <n v="2300"/>
    <x v="0"/>
  </r>
  <r>
    <x v="3"/>
    <x v="0"/>
    <n v="6000"/>
    <n v="6000"/>
    <n v="1218"/>
    <n v="4782"/>
    <x v="0"/>
  </r>
  <r>
    <x v="3"/>
    <x v="8"/>
    <n v="4800"/>
    <n v="4800"/>
    <n v="308"/>
    <n v="4492"/>
    <x v="5"/>
  </r>
  <r>
    <x v="3"/>
    <x v="20"/>
    <n v="5500"/>
    <n v="5500"/>
    <n v="200"/>
    <n v="5300"/>
    <x v="2"/>
  </r>
  <r>
    <x v="3"/>
    <x v="11"/>
    <n v="2500"/>
    <n v="2500"/>
    <n v="450"/>
    <n v="2050"/>
    <x v="2"/>
  </r>
  <r>
    <x v="3"/>
    <x v="3"/>
    <n v="25"/>
    <n v="25"/>
    <n v="4"/>
    <n v="21"/>
    <x v="2"/>
  </r>
  <r>
    <x v="3"/>
    <x v="3"/>
    <n v="50"/>
    <n v="50"/>
    <n v="12"/>
    <n v="38"/>
    <x v="2"/>
  </r>
  <r>
    <x v="3"/>
    <x v="3"/>
    <n v="250"/>
    <n v="250"/>
    <n v="30"/>
    <n v="220"/>
    <x v="2"/>
  </r>
  <r>
    <x v="3"/>
    <x v="3"/>
    <n v="350"/>
    <n v="350"/>
    <n v="50"/>
    <n v="300"/>
    <x v="2"/>
  </r>
  <r>
    <x v="3"/>
    <x v="10"/>
    <n v="1000"/>
    <n v="1000"/>
    <n v="75"/>
    <n v="925"/>
    <x v="0"/>
  </r>
  <r>
    <x v="3"/>
    <x v="10"/>
    <n v="19"/>
    <n v="19"/>
    <n v="3"/>
    <n v="16"/>
    <x v="0"/>
  </r>
  <r>
    <x v="3"/>
    <x v="10"/>
    <n v="5000"/>
    <n v="5000"/>
    <n v="230"/>
    <n v="4770"/>
    <x v="0"/>
  </r>
  <r>
    <x v="3"/>
    <x v="0"/>
    <n v="2100"/>
    <n v="2100"/>
    <n v="200"/>
    <n v="1900"/>
    <x v="0"/>
  </r>
  <r>
    <x v="3"/>
    <x v="0"/>
    <n v="1500"/>
    <n v="1500"/>
    <n v="400"/>
    <n v="1100"/>
    <x v="0"/>
  </r>
  <r>
    <x v="3"/>
    <x v="0"/>
    <n v="1200"/>
    <n v="1200"/>
    <n v="100"/>
    <n v="1100"/>
    <x v="0"/>
  </r>
  <r>
    <x v="3"/>
    <x v="0"/>
    <n v="2700"/>
    <n v="2700"/>
    <n v="200"/>
    <n v="2500"/>
    <x v="0"/>
  </r>
  <r>
    <x v="3"/>
    <x v="0"/>
    <n v="2500"/>
    <n v="2500"/>
    <n v="100"/>
    <n v="2400"/>
    <x v="0"/>
  </r>
  <r>
    <x v="3"/>
    <x v="17"/>
    <n v="150"/>
    <n v="150"/>
    <n v="30"/>
    <n v="120"/>
    <x v="5"/>
  </r>
  <r>
    <x v="3"/>
    <x v="8"/>
    <n v="490"/>
    <n v="490"/>
    <n v="10"/>
    <n v="480"/>
    <x v="5"/>
  </r>
  <r>
    <x v="3"/>
    <x v="21"/>
    <n v="8000"/>
    <n v="8000"/>
    <n v="500"/>
    <n v="7500"/>
    <x v="0"/>
  </r>
  <r>
    <x v="3"/>
    <x v="3"/>
    <n v="150"/>
    <n v="150"/>
    <n v="47"/>
    <n v="103"/>
    <x v="2"/>
  </r>
  <r>
    <x v="3"/>
    <x v="11"/>
    <n v="3000"/>
    <n v="3000"/>
    <n v="1000"/>
    <n v="2000"/>
    <x v="2"/>
  </r>
  <r>
    <x v="3"/>
    <x v="11"/>
    <n v="100"/>
    <n v="100"/>
    <n v="40"/>
    <n v="60"/>
    <x v="2"/>
  </r>
  <r>
    <x v="3"/>
    <x v="10"/>
    <n v="2100"/>
    <n v="2100"/>
    <n v="400"/>
    <n v="1700"/>
    <x v="0"/>
  </r>
  <r>
    <x v="3"/>
    <x v="10"/>
    <n v="575"/>
    <n v="575"/>
    <n v="575"/>
    <m/>
    <x v="0"/>
  </r>
  <r>
    <x v="3"/>
    <x v="10"/>
    <n v="102345"/>
    <n v="102345"/>
    <n v="291"/>
    <n v="102054"/>
    <x v="0"/>
  </r>
  <r>
    <x v="3"/>
    <x v="0"/>
    <n v="500"/>
    <n v="500"/>
    <n v="100"/>
    <n v="400"/>
    <x v="0"/>
  </r>
  <r>
    <x v="3"/>
    <x v="0"/>
    <n v="2989"/>
    <n v="2989"/>
    <n v="380"/>
    <n v="2609"/>
    <x v="0"/>
  </r>
  <r>
    <x v="3"/>
    <x v="0"/>
    <n v="4100"/>
    <n v="4100"/>
    <n v="150"/>
    <n v="3950"/>
    <x v="0"/>
  </r>
  <r>
    <x v="4"/>
    <x v="16"/>
    <n v="1250"/>
    <n v="1250"/>
    <n v="110"/>
    <n v="1140"/>
    <x v="1"/>
  </r>
  <r>
    <x v="4"/>
    <x v="18"/>
    <n v="5210"/>
    <n v="5210"/>
    <n v="481"/>
    <n v="4729"/>
    <x v="0"/>
  </r>
  <r>
    <x v="3"/>
    <x v="18"/>
    <n v="9400"/>
    <n v="9400"/>
    <n v="3536"/>
    <n v="5864"/>
    <x v="0"/>
  </r>
  <r>
    <x v="3"/>
    <x v="0"/>
    <n v="1650"/>
    <n v="1650"/>
    <n v="150"/>
    <n v="1500"/>
    <x v="0"/>
  </r>
  <r>
    <x v="3"/>
    <x v="0"/>
    <n v="3000"/>
    <n v="3000"/>
    <n v="570"/>
    <n v="2430"/>
    <x v="0"/>
  </r>
  <r>
    <x v="3"/>
    <x v="22"/>
    <n v="10000"/>
    <n v="10000"/>
    <n v="5100"/>
    <n v="4900"/>
    <x v="2"/>
  </r>
  <r>
    <x v="3"/>
    <x v="23"/>
    <n v="3000"/>
    <n v="3000"/>
    <n v="150"/>
    <n v="2850"/>
    <x v="4"/>
  </r>
  <r>
    <x v="3"/>
    <x v="24"/>
    <n v="500"/>
    <n v="500"/>
    <n v="100"/>
    <n v="400"/>
    <x v="4"/>
  </r>
  <r>
    <x v="3"/>
    <x v="0"/>
    <n v="950"/>
    <n v="950"/>
    <n v="85"/>
    <n v="865"/>
    <x v="0"/>
  </r>
  <r>
    <x v="3"/>
    <x v="0"/>
    <n v="2700"/>
    <n v="2700"/>
    <n v="540"/>
    <n v="2160"/>
    <x v="0"/>
  </r>
  <r>
    <x v="3"/>
    <x v="0"/>
    <n v="1500"/>
    <n v="1500"/>
    <n v="180"/>
    <n v="1320"/>
    <x v="0"/>
  </r>
  <r>
    <x v="4"/>
    <x v="3"/>
    <n v="7000"/>
    <n v="7000"/>
    <n v="15"/>
    <n v="6985"/>
    <x v="2"/>
  </r>
  <r>
    <x v="3"/>
    <x v="3"/>
    <n v="120"/>
    <n v="120"/>
    <n v="14"/>
    <n v="106"/>
    <x v="2"/>
  </r>
  <r>
    <x v="3"/>
    <x v="3"/>
    <n v="1700"/>
    <n v="1700"/>
    <n v="60"/>
    <n v="1640"/>
    <x v="2"/>
  </r>
  <r>
    <x v="3"/>
    <x v="18"/>
    <n v="3300"/>
    <n v="3300"/>
    <n v="383"/>
    <n v="2917"/>
    <x v="0"/>
  </r>
  <r>
    <x v="3"/>
    <x v="25"/>
    <n v="3000"/>
    <n v="3000"/>
    <n v="800"/>
    <n v="2200"/>
    <x v="4"/>
  </r>
  <r>
    <x v="4"/>
    <x v="0"/>
    <n v="20000"/>
    <n v="20000"/>
    <n v="5000"/>
    <n v="15000"/>
    <x v="0"/>
  </r>
  <r>
    <x v="4"/>
    <x v="0"/>
    <n v="39900"/>
    <n v="39900"/>
    <n v="9000"/>
    <n v="30900"/>
    <x v="0"/>
  </r>
  <r>
    <x v="3"/>
    <x v="2"/>
    <n v="105"/>
    <n v="105"/>
    <n v="75"/>
    <n v="30"/>
    <x v="0"/>
  </r>
  <r>
    <x v="3"/>
    <x v="14"/>
    <n v="5"/>
    <n v="5"/>
    <n v="4"/>
    <n v="1"/>
    <x v="3"/>
  </r>
  <r>
    <x v="3"/>
    <x v="2"/>
    <n v="70"/>
    <n v="70"/>
    <n v="40"/>
    <n v="30"/>
    <x v="0"/>
  </r>
  <r>
    <x v="3"/>
    <x v="0"/>
    <n v="3000"/>
    <n v="3000"/>
    <n v="800"/>
    <n v="2200"/>
    <x v="0"/>
  </r>
  <r>
    <x v="3"/>
    <x v="0"/>
    <n v="1980"/>
    <n v="1980"/>
    <n v="500"/>
    <n v="1480"/>
    <x v="0"/>
  </r>
  <r>
    <x v="3"/>
    <x v="0"/>
    <n v="900"/>
    <n v="900"/>
    <n v="84"/>
    <n v="816"/>
    <x v="0"/>
  </r>
  <r>
    <x v="4"/>
    <x v="0"/>
    <n v="1700"/>
    <n v="1700"/>
    <n v="1700"/>
    <m/>
    <x v="0"/>
  </r>
  <r>
    <x v="3"/>
    <x v="0"/>
    <n v="2100"/>
    <n v="2100"/>
    <n v="675"/>
    <n v="1425"/>
    <x v="0"/>
  </r>
  <r>
    <x v="3"/>
    <x v="17"/>
    <n v="126"/>
    <n v="126"/>
    <n v="104"/>
    <n v="22"/>
    <x v="5"/>
  </r>
  <r>
    <x v="3"/>
    <x v="17"/>
    <n v="82"/>
    <n v="82"/>
    <n v="40"/>
    <n v="42"/>
    <x v="5"/>
  </r>
  <r>
    <x v="3"/>
    <x v="26"/>
    <n v="600"/>
    <n v="600"/>
    <n v="489"/>
    <n v="111"/>
    <x v="0"/>
  </r>
  <r>
    <x v="3"/>
    <x v="0"/>
    <n v="99000"/>
    <n v="99000"/>
    <n v="35000"/>
    <n v="64000"/>
    <x v="0"/>
  </r>
  <r>
    <x v="3"/>
    <x v="0"/>
    <n v="1500"/>
    <n v="1500"/>
    <n v="300"/>
    <n v="1200"/>
    <x v="0"/>
  </r>
  <r>
    <x v="3"/>
    <x v="10"/>
    <n v="2000"/>
    <n v="2000"/>
    <n v="353"/>
    <n v="1647"/>
    <x v="0"/>
  </r>
  <r>
    <x v="3"/>
    <x v="10"/>
    <n v="1500"/>
    <n v="1500"/>
    <n v="265"/>
    <n v="1235"/>
    <x v="0"/>
  </r>
  <r>
    <x v="3"/>
    <x v="27"/>
    <n v="17000"/>
    <n v="17000"/>
    <n v="3200"/>
    <n v="13800"/>
    <x v="5"/>
  </r>
  <r>
    <x v="4"/>
    <x v="17"/>
    <n v="800"/>
    <n v="800"/>
    <n v="600"/>
    <n v="200"/>
    <x v="5"/>
  </r>
  <r>
    <x v="3"/>
    <x v="21"/>
    <n v="180000"/>
    <n v="180000"/>
    <n v="30000"/>
    <n v="150000"/>
    <x v="0"/>
  </r>
  <r>
    <x v="3"/>
    <x v="3"/>
    <n v="35"/>
    <n v="35"/>
    <n v="30"/>
    <n v="5"/>
    <x v="2"/>
  </r>
  <r>
    <x v="3"/>
    <x v="3"/>
    <n v="55"/>
    <n v="55"/>
    <n v="40"/>
    <n v="15"/>
    <x v="2"/>
  </r>
  <r>
    <x v="3"/>
    <x v="20"/>
    <n v="1200"/>
    <n v="1200"/>
    <n v="58"/>
    <n v="1142"/>
    <x v="2"/>
  </r>
  <r>
    <x v="3"/>
    <x v="20"/>
    <n v="1000"/>
    <n v="1000"/>
    <n v="41"/>
    <n v="959"/>
    <x v="2"/>
  </r>
  <r>
    <x v="3"/>
    <x v="20"/>
    <n v="2800"/>
    <n v="2800"/>
    <n v="34"/>
    <n v="2766"/>
    <x v="2"/>
  </r>
  <r>
    <x v="3"/>
    <x v="28"/>
    <n v="37"/>
    <n v="37"/>
    <n v="20"/>
    <n v="17"/>
    <x v="5"/>
  </r>
  <r>
    <x v="3"/>
    <x v="20"/>
    <n v="31164"/>
    <n v="31164"/>
    <n v="7463"/>
    <n v="23701"/>
    <x v="2"/>
  </r>
  <r>
    <x v="3"/>
    <x v="22"/>
    <n v="4070"/>
    <n v="4070"/>
    <n v="1000"/>
    <n v="3070"/>
    <x v="2"/>
  </r>
  <r>
    <x v="3"/>
    <x v="22"/>
    <n v="3179"/>
    <n v="3179"/>
    <n v="500"/>
    <n v="2679"/>
    <x v="2"/>
  </r>
  <r>
    <x v="3"/>
    <x v="22"/>
    <n v="5809"/>
    <n v="5809"/>
    <n v="1520"/>
    <n v="4289"/>
    <x v="2"/>
  </r>
  <r>
    <x v="3"/>
    <x v="0"/>
    <n v="1500"/>
    <n v="1500"/>
    <n v="30"/>
    <n v="1470"/>
    <x v="0"/>
  </r>
  <r>
    <x v="3"/>
    <x v="0"/>
    <n v="1700"/>
    <n v="1700"/>
    <n v="30"/>
    <n v="1670"/>
    <x v="0"/>
  </r>
  <r>
    <x v="3"/>
    <x v="0"/>
    <n v="563"/>
    <n v="563"/>
    <n v="500"/>
    <n v="63"/>
    <x v="0"/>
  </r>
  <r>
    <x v="3"/>
    <x v="0"/>
    <n v="3600"/>
    <n v="3600"/>
    <n v="2000"/>
    <n v="1600"/>
    <x v="0"/>
  </r>
  <r>
    <x v="3"/>
    <x v="0"/>
    <n v="3100"/>
    <n v="3100"/>
    <n v="3100"/>
    <m/>
    <x v="0"/>
  </r>
  <r>
    <x v="3"/>
    <x v="3"/>
    <n v="2000"/>
    <n v="2000"/>
    <n v="25"/>
    <n v="1975"/>
    <x v="2"/>
  </r>
  <r>
    <x v="3"/>
    <x v="3"/>
    <n v="400"/>
    <n v="400"/>
    <n v="18"/>
    <n v="382"/>
    <x v="2"/>
  </r>
  <r>
    <x v="3"/>
    <x v="3"/>
    <n v="2000"/>
    <n v="2000"/>
    <n v="300"/>
    <n v="1700"/>
    <x v="2"/>
  </r>
  <r>
    <x v="3"/>
    <x v="22"/>
    <n v="1560"/>
    <n v="1560"/>
    <n v="560"/>
    <n v="1000"/>
    <x v="2"/>
  </r>
  <r>
    <x v="3"/>
    <x v="18"/>
    <n v="14000"/>
    <n v="14000"/>
    <n v="13994"/>
    <n v="6"/>
    <x v="0"/>
  </r>
  <r>
    <x v="3"/>
    <x v="17"/>
    <n v="3200"/>
    <n v="3200"/>
    <n v="350"/>
    <n v="2850"/>
    <x v="5"/>
  </r>
  <r>
    <x v="3"/>
    <x v="0"/>
    <n v="31"/>
    <n v="31"/>
    <n v="27"/>
    <n v="4"/>
    <x v="0"/>
  </r>
  <r>
    <x v="3"/>
    <x v="0"/>
    <n v="2860"/>
    <n v="2860"/>
    <n v="1000"/>
    <n v="1860"/>
    <x v="0"/>
  </r>
  <r>
    <x v="3"/>
    <x v="0"/>
    <n v="2970"/>
    <n v="2970"/>
    <n v="570"/>
    <n v="2400"/>
    <x v="0"/>
  </r>
  <r>
    <x v="3"/>
    <x v="0"/>
    <n v="2966"/>
    <n v="2966"/>
    <n v="352"/>
    <n v="2614"/>
    <x v="0"/>
  </r>
  <r>
    <x v="3"/>
    <x v="0"/>
    <n v="2900"/>
    <n v="2900"/>
    <n v="185"/>
    <n v="2715"/>
    <x v="0"/>
  </r>
  <r>
    <x v="3"/>
    <x v="17"/>
    <n v="3200"/>
    <n v="3200"/>
    <n v="30"/>
    <n v="3170"/>
    <x v="5"/>
  </r>
  <r>
    <x v="3"/>
    <x v="22"/>
    <n v="800"/>
    <n v="800"/>
    <n v="100"/>
    <n v="700"/>
    <x v="2"/>
  </r>
  <r>
    <x v="3"/>
    <x v="3"/>
    <n v="3500"/>
    <n v="3000"/>
    <n v="1000"/>
    <n v="2500"/>
    <x v="2"/>
  </r>
  <r>
    <x v="3"/>
    <x v="3"/>
    <n v="3000"/>
    <n v="3000"/>
    <n v="600"/>
    <n v="2400"/>
    <x v="2"/>
  </r>
  <r>
    <x v="3"/>
    <x v="3"/>
    <n v="1808"/>
    <n v="1808"/>
    <n v="39"/>
    <n v="1769"/>
    <x v="2"/>
  </r>
  <r>
    <x v="3"/>
    <x v="8"/>
    <n v="2800"/>
    <n v="2800"/>
    <n v="2187"/>
    <n v="613"/>
    <x v="5"/>
  </r>
  <r>
    <x v="3"/>
    <x v="16"/>
    <n v="11000"/>
    <n v="11000"/>
    <n v="501"/>
    <n v="10499"/>
    <x v="1"/>
  </r>
  <r>
    <x v="3"/>
    <x v="16"/>
    <n v="2000"/>
    <n v="2000"/>
    <n v="125"/>
    <n v="1875"/>
    <x v="1"/>
  </r>
  <r>
    <x v="3"/>
    <x v="20"/>
    <n v="145"/>
    <n v="145"/>
    <n v="125"/>
    <n v="20"/>
    <x v="2"/>
  </r>
  <r>
    <x v="3"/>
    <x v="22"/>
    <n v="5000"/>
    <n v="5000"/>
    <n v="1000"/>
    <n v="4000"/>
    <x v="2"/>
  </r>
  <r>
    <x v="3"/>
    <x v="18"/>
    <n v="3000"/>
    <n v="3000"/>
    <n v="750"/>
    <n v="2250"/>
    <x v="0"/>
  </r>
  <r>
    <x v="3"/>
    <x v="18"/>
    <n v="32000"/>
    <n v="32000"/>
    <n v="1500"/>
    <n v="30500"/>
    <x v="0"/>
  </r>
  <r>
    <x v="4"/>
    <x v="6"/>
    <n v="3000"/>
    <n v="3000"/>
    <n v="2500"/>
    <n v="500"/>
    <x v="1"/>
  </r>
  <r>
    <x v="4"/>
    <x v="23"/>
    <n v="2000"/>
    <n v="2000"/>
    <n v="85"/>
    <n v="1915"/>
    <x v="4"/>
  </r>
  <r>
    <x v="4"/>
    <x v="8"/>
    <n v="2200"/>
    <n v="2200"/>
    <n v="560"/>
    <n v="1640"/>
    <x v="5"/>
  </r>
  <r>
    <x v="4"/>
    <x v="3"/>
    <n v="2015"/>
    <n v="2015"/>
    <n v="515"/>
    <n v="1500"/>
    <x v="2"/>
  </r>
  <r>
    <x v="4"/>
    <x v="3"/>
    <n v="9000"/>
    <n v="9000"/>
    <n v="1300"/>
    <n v="7700"/>
    <x v="2"/>
  </r>
  <r>
    <x v="4"/>
    <x v="23"/>
    <n v="200"/>
    <n v="200"/>
    <n v="65"/>
    <n v="135"/>
    <x v="4"/>
  </r>
  <r>
    <x v="4"/>
    <x v="8"/>
    <n v="7234"/>
    <n v="7234"/>
    <n v="819"/>
    <n v="6415"/>
    <x v="5"/>
  </r>
  <r>
    <x v="4"/>
    <x v="8"/>
    <n v="8271"/>
    <n v="8271"/>
    <n v="943"/>
    <n v="7328"/>
    <x v="5"/>
  </r>
  <r>
    <x v="4"/>
    <x v="17"/>
    <n v="34"/>
    <n v="34"/>
    <n v="3"/>
    <n v="31"/>
    <x v="5"/>
  </r>
  <r>
    <x v="4"/>
    <x v="17"/>
    <n v="66"/>
    <n v="66"/>
    <n v="6"/>
    <n v="60"/>
    <x v="5"/>
  </r>
  <r>
    <x v="4"/>
    <x v="3"/>
    <n v="1600"/>
    <n v="1600"/>
    <n v="36"/>
    <n v="1564"/>
    <x v="2"/>
  </r>
  <r>
    <x v="4"/>
    <x v="17"/>
    <n v="14"/>
    <n v="14"/>
    <n v="14"/>
    <m/>
    <x v="5"/>
  </r>
  <r>
    <x v="4"/>
    <x v="3"/>
    <n v="540"/>
    <n v="450"/>
    <n v="164"/>
    <n v="376"/>
    <x v="2"/>
  </r>
  <r>
    <x v="4"/>
    <x v="8"/>
    <n v="9760"/>
    <n v="9760"/>
    <n v="211"/>
    <n v="9549"/>
    <x v="5"/>
  </r>
  <r>
    <x v="4"/>
    <x v="17"/>
    <n v="12"/>
    <n v="12"/>
    <n v="6"/>
    <n v="6"/>
    <x v="5"/>
  </r>
  <r>
    <x v="4"/>
    <x v="8"/>
    <n v="4902"/>
    <n v="4902"/>
    <n v="62"/>
    <n v="4840"/>
    <x v="5"/>
  </r>
  <r>
    <x v="4"/>
    <x v="11"/>
    <n v="6000"/>
    <n v="6000"/>
    <n v="1233"/>
    <n v="4767"/>
    <x v="2"/>
  </r>
  <r>
    <x v="4"/>
    <x v="6"/>
    <n v="5200"/>
    <n v="5200"/>
    <n v="5120"/>
    <n v="80"/>
    <x v="1"/>
  </r>
  <r>
    <x v="4"/>
    <x v="11"/>
    <n v="500"/>
    <n v="500"/>
    <n v="106"/>
    <n v="394"/>
    <x v="2"/>
  </r>
  <r>
    <x v="4"/>
    <x v="0"/>
    <n v="2750"/>
    <n v="2750"/>
    <n v="89"/>
    <n v="2661"/>
    <x v="0"/>
  </r>
  <r>
    <x v="4"/>
    <x v="0"/>
    <n v="3000"/>
    <n v="3000"/>
    <n v="362"/>
    <n v="2638"/>
    <x v="0"/>
  </r>
  <r>
    <x v="4"/>
    <x v="8"/>
    <n v="150"/>
    <n v="150"/>
    <n v="109"/>
    <n v="41"/>
    <x v="5"/>
  </r>
  <r>
    <x v="4"/>
    <x v="0"/>
    <n v="16000"/>
    <n v="16000"/>
    <n v="1235"/>
    <n v="14765"/>
    <x v="0"/>
  </r>
  <r>
    <x v="4"/>
    <x v="0"/>
    <n v="200"/>
    <n v="200"/>
    <n v="117"/>
    <n v="83"/>
    <x v="0"/>
  </r>
  <r>
    <x v="4"/>
    <x v="0"/>
    <n v="1000"/>
    <n v="1000"/>
    <n v="350"/>
    <n v="650"/>
    <x v="0"/>
  </r>
  <r>
    <x v="4"/>
    <x v="6"/>
    <n v="1"/>
    <n v="1"/>
    <n v="1"/>
    <m/>
    <x v="1"/>
  </r>
  <r>
    <x v="4"/>
    <x v="13"/>
    <n v="3200"/>
    <n v="3200"/>
    <n v="2235"/>
    <n v="965"/>
    <x v="1"/>
  </r>
  <r>
    <x v="4"/>
    <x v="4"/>
    <n v="106000"/>
    <n v="106000"/>
    <n v="23000"/>
    <n v="83000"/>
    <x v="3"/>
  </r>
  <r>
    <x v="4"/>
    <x v="6"/>
    <n v="3000"/>
    <n v="3000"/>
    <n v="1538"/>
    <n v="1462"/>
    <x v="1"/>
  </r>
  <r>
    <x v="4"/>
    <x v="6"/>
    <n v="5000"/>
    <n v="5000"/>
    <n v="2800"/>
    <n v="2200"/>
    <x v="1"/>
  </r>
  <r>
    <x v="4"/>
    <x v="6"/>
    <n v="5000"/>
    <n v="5000"/>
    <n v="300"/>
    <n v="4700"/>
    <x v="1"/>
  </r>
  <r>
    <x v="4"/>
    <x v="14"/>
    <n v="700"/>
    <n v="700"/>
    <n v="500"/>
    <n v="200"/>
    <x v="3"/>
  </r>
  <r>
    <x v="4"/>
    <x v="14"/>
    <n v="5000"/>
    <n v="5000"/>
    <n v="300"/>
    <n v="4700"/>
    <x v="3"/>
  </r>
  <r>
    <x v="4"/>
    <x v="29"/>
    <n v="3800"/>
    <n v="3800"/>
    <n v="1000"/>
    <n v="2800"/>
    <x v="4"/>
  </r>
  <r>
    <x v="4"/>
    <x v="6"/>
    <n v="6000"/>
    <n v="6000"/>
    <n v="2600"/>
    <n v="3400"/>
    <x v="1"/>
  </r>
  <r>
    <x v="4"/>
    <x v="6"/>
    <n v="2900"/>
    <n v="2900"/>
    <n v="900"/>
    <n v="2000"/>
    <x v="1"/>
  </r>
  <r>
    <x v="4"/>
    <x v="6"/>
    <n v="4700"/>
    <n v="4700"/>
    <n v="2700"/>
    <n v="2000"/>
    <x v="1"/>
  </r>
  <r>
    <x v="4"/>
    <x v="6"/>
    <n v="5500"/>
    <n v="5500"/>
    <n v="2500"/>
    <n v="3000"/>
    <x v="1"/>
  </r>
  <r>
    <x v="4"/>
    <x v="25"/>
    <n v="3500"/>
    <n v="3500"/>
    <n v="1500"/>
    <n v="2000"/>
    <x v="4"/>
  </r>
  <r>
    <x v="4"/>
    <x v="25"/>
    <n v="4000"/>
    <n v="4000"/>
    <n v="2800"/>
    <n v="1200"/>
    <x v="4"/>
  </r>
  <r>
    <x v="4"/>
    <x v="17"/>
    <n v="3000"/>
    <n v="3000"/>
    <n v="500"/>
    <n v="2500"/>
    <x v="5"/>
  </r>
  <r>
    <x v="4"/>
    <x v="4"/>
    <n v="2400"/>
    <n v="2400"/>
    <n v="900"/>
    <n v="1500"/>
    <x v="3"/>
  </r>
  <r>
    <x v="4"/>
    <x v="4"/>
    <n v="1500"/>
    <n v="1500"/>
    <n v="600"/>
    <n v="900"/>
    <x v="3"/>
  </r>
  <r>
    <x v="4"/>
    <x v="4"/>
    <n v="2800"/>
    <n v="2800"/>
    <n v="900"/>
    <n v="1900"/>
    <x v="3"/>
  </r>
  <r>
    <x v="4"/>
    <x v="4"/>
    <n v="6000"/>
    <n v="6000"/>
    <n v="2500"/>
    <n v="3500"/>
    <x v="3"/>
  </r>
  <r>
    <x v="4"/>
    <x v="4"/>
    <n v="5400"/>
    <n v="5400"/>
    <n v="1450"/>
    <n v="3950"/>
    <x v="3"/>
  </r>
  <r>
    <x v="4"/>
    <x v="0"/>
    <n v="4900"/>
    <n v="4900"/>
    <n v="1100"/>
    <n v="3800"/>
    <x v="0"/>
  </r>
  <r>
    <x v="4"/>
    <x v="0"/>
    <n v="4500"/>
    <n v="4500"/>
    <n v="700"/>
    <n v="3800"/>
    <x v="0"/>
  </r>
  <r>
    <x v="4"/>
    <x v="17"/>
    <n v="5000"/>
    <n v="5000"/>
    <n v="2300"/>
    <n v="2700"/>
    <x v="5"/>
  </r>
  <r>
    <x v="4"/>
    <x v="11"/>
    <n v="3300"/>
    <n v="3300"/>
    <n v="1300"/>
    <n v="2000"/>
    <x v="2"/>
  </r>
  <r>
    <x v="4"/>
    <x v="11"/>
    <n v="3500"/>
    <n v="3500"/>
    <n v="800"/>
    <n v="2700"/>
    <x v="2"/>
  </r>
  <r>
    <x v="4"/>
    <x v="11"/>
    <n v="15"/>
    <n v="15"/>
    <n v="12"/>
    <n v="3"/>
    <x v="2"/>
  </r>
  <r>
    <x v="4"/>
    <x v="4"/>
    <n v="2500"/>
    <n v="2500"/>
    <n v="600"/>
    <n v="1900"/>
    <x v="3"/>
  </r>
  <r>
    <x v="4"/>
    <x v="14"/>
    <n v="6000"/>
    <n v="6000"/>
    <n v="2330"/>
    <n v="3670"/>
    <x v="3"/>
  </r>
  <r>
    <x v="4"/>
    <x v="29"/>
    <n v="20"/>
    <n v="20"/>
    <n v="5"/>
    <n v="15"/>
    <x v="4"/>
  </r>
  <r>
    <x v="4"/>
    <x v="6"/>
    <n v="5000"/>
    <n v="5000"/>
    <n v="1000"/>
    <n v="4000"/>
    <x v="1"/>
  </r>
  <r>
    <x v="4"/>
    <x v="1"/>
    <n v="4000"/>
    <n v="4000"/>
    <n v="2300"/>
    <n v="1700"/>
    <x v="1"/>
  </r>
  <r>
    <x v="4"/>
    <x v="1"/>
    <n v="70000"/>
    <n v="70000"/>
    <n v="60504"/>
    <n v="9496"/>
    <x v="1"/>
  </r>
  <r>
    <x v="4"/>
    <x v="13"/>
    <n v="200"/>
    <n v="200"/>
    <n v="20"/>
    <n v="180"/>
    <x v="1"/>
  </r>
  <r>
    <x v="4"/>
    <x v="13"/>
    <n v="600"/>
    <n v="600"/>
    <n v="85"/>
    <n v="515"/>
    <x v="1"/>
  </r>
  <r>
    <x v="4"/>
    <x v="23"/>
    <n v="2500"/>
    <n v="2500"/>
    <n v="800"/>
    <n v="1700"/>
    <x v="4"/>
  </r>
  <r>
    <x v="4"/>
    <x v="1"/>
    <n v="9500"/>
    <n v="9500"/>
    <n v="5451"/>
    <n v="4049"/>
    <x v="1"/>
  </r>
  <r>
    <x v="4"/>
    <x v="1"/>
    <n v="3000"/>
    <n v="3000"/>
    <n v="510"/>
    <n v="2490"/>
    <x v="1"/>
  </r>
  <r>
    <x v="4"/>
    <x v="1"/>
    <n v="90000"/>
    <n v="90000"/>
    <n v="2000"/>
    <n v="88000"/>
    <x v="1"/>
  </r>
  <r>
    <x v="4"/>
    <x v="1"/>
    <n v="33000"/>
    <n v="33000"/>
    <n v="3000"/>
    <n v="30000"/>
    <x v="1"/>
  </r>
  <r>
    <x v="4"/>
    <x v="1"/>
    <n v="450"/>
    <n v="450"/>
    <n v="30"/>
    <n v="420"/>
    <x v="1"/>
  </r>
  <r>
    <x v="4"/>
    <x v="0"/>
    <n v="600"/>
    <n v="600"/>
    <n v="520"/>
    <n v="80"/>
    <x v="0"/>
  </r>
  <r>
    <x v="4"/>
    <x v="13"/>
    <n v="6200"/>
    <n v="6200"/>
    <n v="1500"/>
    <n v="4700"/>
    <x v="1"/>
  </r>
  <r>
    <x v="4"/>
    <x v="13"/>
    <n v="1100"/>
    <n v="1100"/>
    <n v="400"/>
    <n v="700"/>
    <x v="1"/>
  </r>
  <r>
    <x v="4"/>
    <x v="4"/>
    <n v="2000"/>
    <n v="2000"/>
    <n v="160"/>
    <n v="1840"/>
    <x v="3"/>
  </r>
  <r>
    <x v="4"/>
    <x v="4"/>
    <n v="3664"/>
    <n v="3664"/>
    <n v="894"/>
    <n v="2770"/>
    <x v="3"/>
  </r>
  <r>
    <x v="4"/>
    <x v="4"/>
    <n v="800"/>
    <n v="800"/>
    <n v="350"/>
    <n v="450"/>
    <x v="3"/>
  </r>
  <r>
    <x v="4"/>
    <x v="11"/>
    <n v="800"/>
    <n v="800"/>
    <n v="369"/>
    <n v="431"/>
    <x v="2"/>
  </r>
  <r>
    <x v="4"/>
    <x v="1"/>
    <n v="3000"/>
    <n v="3000"/>
    <n v="800"/>
    <n v="2200"/>
    <x v="1"/>
  </r>
  <r>
    <x v="4"/>
    <x v="1"/>
    <n v="25000"/>
    <n v="25000"/>
    <n v="22200"/>
    <n v="2800"/>
    <x v="1"/>
  </r>
  <r>
    <x v="4"/>
    <x v="30"/>
    <n v="4964"/>
    <n v="4964"/>
    <n v="3964"/>
    <n v="1000"/>
    <x v="1"/>
  </r>
  <r>
    <x v="4"/>
    <x v="14"/>
    <n v="100"/>
    <n v="100"/>
    <n v="66"/>
    <n v="34"/>
    <x v="3"/>
  </r>
  <r>
    <x v="4"/>
    <x v="20"/>
    <n v="1800"/>
    <n v="1800"/>
    <n v="500"/>
    <n v="1300"/>
    <x v="2"/>
  </r>
  <r>
    <x v="4"/>
    <x v="1"/>
    <n v="800"/>
    <n v="800"/>
    <n v="600"/>
    <n v="200"/>
    <x v="1"/>
  </r>
  <r>
    <x v="4"/>
    <x v="1"/>
    <n v="14"/>
    <n v="14"/>
    <n v="5"/>
    <n v="9"/>
    <x v="1"/>
  </r>
  <r>
    <x v="4"/>
    <x v="14"/>
    <n v="3043"/>
    <n v="3043"/>
    <n v="370"/>
    <n v="2673"/>
    <x v="3"/>
  </r>
  <r>
    <x v="4"/>
    <x v="1"/>
    <n v="2529"/>
    <n v="2529"/>
    <n v="245"/>
    <n v="2284"/>
    <x v="1"/>
  </r>
  <r>
    <x v="4"/>
    <x v="5"/>
    <n v="1000"/>
    <n v="1000"/>
    <n v="200"/>
    <n v="800"/>
    <x v="3"/>
  </r>
  <r>
    <x v="4"/>
    <x v="5"/>
    <n v="1200"/>
    <n v="1200"/>
    <n v="500"/>
    <n v="700"/>
    <x v="3"/>
  </r>
  <r>
    <x v="4"/>
    <x v="5"/>
    <n v="65480"/>
    <n v="65480"/>
    <n v="8826"/>
    <n v="56654"/>
    <x v="3"/>
  </r>
  <r>
    <x v="4"/>
    <x v="5"/>
    <n v="51995"/>
    <n v="51995"/>
    <n v="4770"/>
    <n v="47225"/>
    <x v="3"/>
  </r>
  <r>
    <x v="4"/>
    <x v="1"/>
    <n v="33756"/>
    <n v="33755"/>
    <n v="488"/>
    <n v="33268"/>
    <x v="1"/>
  </r>
  <r>
    <x v="4"/>
    <x v="1"/>
    <n v="4000"/>
    <n v="4000"/>
    <n v="185"/>
    <n v="3815"/>
    <x v="1"/>
  </r>
  <r>
    <x v="4"/>
    <x v="1"/>
    <n v="2750"/>
    <n v="2750"/>
    <n v="650"/>
    <n v="2100"/>
    <x v="1"/>
  </r>
  <r>
    <x v="4"/>
    <x v="16"/>
    <n v="2785"/>
    <n v="2785"/>
    <n v="402"/>
    <n v="2383"/>
    <x v="1"/>
  </r>
  <r>
    <x v="4"/>
    <x v="16"/>
    <n v="3627"/>
    <n v="3627"/>
    <n v="441"/>
    <n v="3186"/>
    <x v="1"/>
  </r>
  <r>
    <x v="4"/>
    <x v="31"/>
    <n v="2000"/>
    <n v="2000"/>
    <n v="687"/>
    <n v="1313"/>
    <x v="5"/>
  </r>
  <r>
    <x v="4"/>
    <x v="1"/>
    <n v="1500"/>
    <n v="1500"/>
    <n v="100"/>
    <n v="1400"/>
    <x v="1"/>
  </r>
  <r>
    <x v="4"/>
    <x v="1"/>
    <n v="3000"/>
    <n v="3000"/>
    <n v="200"/>
    <n v="2800"/>
    <x v="1"/>
  </r>
  <r>
    <x v="4"/>
    <x v="23"/>
    <n v="9000"/>
    <n v="9000"/>
    <n v="3000"/>
    <n v="6000"/>
    <x v="4"/>
  </r>
  <r>
    <x v="4"/>
    <x v="5"/>
    <n v="100"/>
    <n v="100"/>
    <n v="15"/>
    <n v="85"/>
    <x v="3"/>
  </r>
  <r>
    <x v="4"/>
    <x v="14"/>
    <n v="3000"/>
    <n v="2800"/>
    <n v="200"/>
    <n v="2800"/>
    <x v="3"/>
  </r>
  <r>
    <x v="4"/>
    <x v="16"/>
    <n v="2507"/>
    <n v="2507"/>
    <n v="325"/>
    <n v="2182"/>
    <x v="1"/>
  </r>
  <r>
    <x v="4"/>
    <x v="3"/>
    <n v="1500"/>
    <n v="1500"/>
    <n v="300"/>
    <n v="1200"/>
    <x v="2"/>
  </r>
  <r>
    <x v="4"/>
    <x v="8"/>
    <n v="1000"/>
    <n v="1000"/>
    <n v="100"/>
    <n v="900"/>
    <x v="5"/>
  </r>
  <r>
    <x v="4"/>
    <x v="1"/>
    <n v="1729"/>
    <n v="1729"/>
    <n v="100"/>
    <n v="1629"/>
    <x v="1"/>
  </r>
  <r>
    <x v="4"/>
    <x v="5"/>
    <n v="12"/>
    <n v="12"/>
    <n v="4"/>
    <n v="8"/>
    <x v="3"/>
  </r>
  <r>
    <x v="4"/>
    <x v="16"/>
    <n v="800"/>
    <n v="800"/>
    <n v="300"/>
    <n v="500"/>
    <x v="1"/>
  </r>
  <r>
    <x v="4"/>
    <x v="16"/>
    <n v="2000"/>
    <n v="2000"/>
    <n v="1000"/>
    <n v="1000"/>
    <x v="1"/>
  </r>
  <r>
    <x v="4"/>
    <x v="11"/>
    <n v="1500"/>
    <n v="1500"/>
    <n v="802"/>
    <n v="698"/>
    <x v="2"/>
  </r>
  <r>
    <x v="4"/>
    <x v="22"/>
    <n v="500"/>
    <n v="500"/>
    <n v="350"/>
    <n v="150"/>
    <x v="2"/>
  </r>
  <r>
    <x v="4"/>
    <x v="22"/>
    <n v="2000"/>
    <n v="2000"/>
    <n v="1200"/>
    <n v="800"/>
    <x v="2"/>
  </r>
  <r>
    <x v="4"/>
    <x v="22"/>
    <n v="4500"/>
    <n v="4500"/>
    <n v="1000"/>
    <n v="3500"/>
    <x v="2"/>
  </r>
  <r>
    <x v="4"/>
    <x v="18"/>
    <n v="1500"/>
    <n v="1500"/>
    <n v="120"/>
    <n v="1380"/>
    <x v="0"/>
  </r>
  <r>
    <x v="4"/>
    <x v="18"/>
    <n v="1500"/>
    <n v="1500"/>
    <n v="1500"/>
    <m/>
    <x v="0"/>
  </r>
  <r>
    <x v="4"/>
    <x v="17"/>
    <n v="1980"/>
    <n v="1980"/>
    <n v="1584"/>
    <n v="396"/>
    <x v="5"/>
  </r>
  <r>
    <x v="4"/>
    <x v="8"/>
    <n v="27600"/>
    <n v="27600"/>
    <n v="1825"/>
    <n v="25775"/>
    <x v="5"/>
  </r>
  <r>
    <x v="4"/>
    <x v="8"/>
    <n v="500"/>
    <n v="500"/>
    <n v="60"/>
    <n v="440"/>
    <x v="5"/>
  </r>
  <r>
    <x v="4"/>
    <x v="8"/>
    <n v="6250"/>
    <n v="6250"/>
    <n v="500"/>
    <n v="5750"/>
    <x v="5"/>
  </r>
  <r>
    <x v="4"/>
    <x v="8"/>
    <n v="6200"/>
    <n v="6200"/>
    <n v="407"/>
    <n v="5793"/>
    <x v="5"/>
  </r>
  <r>
    <x v="4"/>
    <x v="8"/>
    <n v="1500"/>
    <n v="1500"/>
    <n v="10"/>
    <n v="1490"/>
    <x v="5"/>
  </r>
  <r>
    <x v="4"/>
    <x v="8"/>
    <n v="2000"/>
    <n v="2000"/>
    <n v="16"/>
    <n v="198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A0C2B-4525-45A1-9256-8D6C0750D1EE}" name="PivotTable26"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4:D97" firstHeaderRow="0" firstDataRow="1" firstDataCol="1"/>
  <pivotFields count="8">
    <pivotField showAll="0">
      <items count="7">
        <item x="5"/>
        <item x="4"/>
        <item x="3"/>
        <item x="2"/>
        <item x="1"/>
        <item x="0"/>
        <item t="default"/>
      </items>
    </pivotField>
    <pivotField axis="axisRow" showAll="0">
      <items count="33">
        <item x="25"/>
        <item x="27"/>
        <item x="30"/>
        <item x="23"/>
        <item x="8"/>
        <item x="13"/>
        <item x="28"/>
        <item x="1"/>
        <item x="24"/>
        <item x="16"/>
        <item x="9"/>
        <item x="29"/>
        <item x="20"/>
        <item x="17"/>
        <item x="7"/>
        <item x="26"/>
        <item x="18"/>
        <item x="0"/>
        <item x="10"/>
        <item x="2"/>
        <item x="19"/>
        <item x="5"/>
        <item x="22"/>
        <item x="11"/>
        <item x="4"/>
        <item x="15"/>
        <item x="14"/>
        <item x="3"/>
        <item x="6"/>
        <item x="12"/>
        <item x="31"/>
        <item x="21"/>
        <item t="default"/>
      </items>
    </pivotField>
    <pivotField showAll="0"/>
    <pivotField dataField="1" showAll="0"/>
    <pivotField dataField="1" showAll="0"/>
    <pivotField dataField="1" showAll="0"/>
    <pivotField showAll="0">
      <items count="7">
        <item x="2"/>
        <item x="5"/>
        <item x="0"/>
        <item x="4"/>
        <item x="1"/>
        <item x="3"/>
        <item t="default"/>
      </items>
    </pivotField>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3">
    <i>
      <x/>
    </i>
    <i i="1">
      <x v="1"/>
    </i>
    <i i="2">
      <x v="2"/>
    </i>
  </colItems>
  <dataFields count="3">
    <dataField name="Sum of Cases" fld="3" baseField="0" baseItem="0"/>
    <dataField name="Sum of Death" fld="4" baseField="0" baseItem="0"/>
    <dataField name="Sum of Killed and Disposed off" fld="5"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6840C-4706-4FD5-969F-B844AB7FC96E}" name="PivotTable23"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0" firstHeaderRow="1" firstDataRow="1" firstDataCol="1"/>
  <pivotFields count="8">
    <pivotField axis="axisRow" showAll="0">
      <items count="7">
        <item x="5"/>
        <item x="4"/>
        <item x="3"/>
        <item x="2"/>
        <item x="1"/>
        <item x="0"/>
        <item t="default"/>
      </items>
    </pivotField>
    <pivotField showAll="0"/>
    <pivotField showAll="0"/>
    <pivotField showAll="0"/>
    <pivotField showAll="0"/>
    <pivotField showAll="0"/>
    <pivotField showAll="0"/>
    <pivotField dataField="1" showAll="0"/>
  </pivotFields>
  <rowFields count="1">
    <field x="0"/>
  </rowFields>
  <rowItems count="7">
    <i>
      <x/>
    </i>
    <i>
      <x v="1"/>
    </i>
    <i>
      <x v="2"/>
    </i>
    <i>
      <x v="3"/>
    </i>
    <i>
      <x v="4"/>
    </i>
    <i>
      <x v="5"/>
    </i>
    <i t="grand">
      <x/>
    </i>
  </rowItems>
  <colItems count="1">
    <i/>
  </colItems>
  <dataFields count="1">
    <dataField name="Sum of Mortality"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9AC51-EA10-4468-8D6F-666D84E57A63}" name="PivotTable21"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8">
    <pivotField axis="axisRow" showAll="0">
      <items count="7">
        <item x="5"/>
        <item x="4"/>
        <item x="3"/>
        <item x="2"/>
        <item x="1"/>
        <item x="0"/>
        <item t="default"/>
      </items>
    </pivotField>
    <pivotField showAll="0"/>
    <pivotField showAll="0"/>
    <pivotField dataField="1"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Sum of Cases" fld="3"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7491D-B33D-4A87-9550-EC987FB77705}" name="PivotTable25"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C23" firstHeaderRow="0" firstDataRow="1" firstDataCol="1"/>
  <pivotFields count="8">
    <pivotField showAll="0">
      <items count="7">
        <item h="1" x="5"/>
        <item h="1" x="4"/>
        <item x="3"/>
        <item h="1" x="2"/>
        <item h="1" x="1"/>
        <item h="1" x="0"/>
        <item t="default"/>
      </items>
    </pivotField>
    <pivotField axis="axisRow" showAll="0">
      <items count="33">
        <item x="25"/>
        <item x="27"/>
        <item x="30"/>
        <item x="23"/>
        <item x="8"/>
        <item x="13"/>
        <item x="28"/>
        <item x="1"/>
        <item x="24"/>
        <item x="16"/>
        <item x="9"/>
        <item x="29"/>
        <item x="20"/>
        <item x="17"/>
        <item x="7"/>
        <item x="26"/>
        <item x="18"/>
        <item x="0"/>
        <item x="10"/>
        <item x="2"/>
        <item x="19"/>
        <item x="5"/>
        <item x="22"/>
        <item x="11"/>
        <item x="4"/>
        <item x="15"/>
        <item x="14"/>
        <item x="3"/>
        <item x="6"/>
        <item x="12"/>
        <item x="31"/>
        <item x="21"/>
        <item t="default"/>
      </items>
    </pivotField>
    <pivotField showAll="0"/>
    <pivotField dataField="1" showAll="0"/>
    <pivotField showAll="0"/>
    <pivotField showAll="0"/>
    <pivotField showAll="0">
      <items count="7">
        <item x="2"/>
        <item h="1" x="5"/>
        <item h="1" x="0"/>
        <item h="1" x="4"/>
        <item h="1" x="1"/>
        <item h="1" x="3"/>
        <item t="default"/>
      </items>
    </pivotField>
    <pivotField dataField="1" showAll="0"/>
  </pivotFields>
  <rowFields count="1">
    <field x="1"/>
  </rowFields>
  <rowItems count="6">
    <i>
      <x v="12"/>
    </i>
    <i>
      <x v="20"/>
    </i>
    <i>
      <x v="22"/>
    </i>
    <i>
      <x v="23"/>
    </i>
    <i>
      <x v="27"/>
    </i>
    <i t="grand">
      <x/>
    </i>
  </rowItems>
  <colFields count="1">
    <field x="-2"/>
  </colFields>
  <colItems count="2">
    <i>
      <x/>
    </i>
    <i i="1">
      <x v="1"/>
    </i>
  </colItems>
  <dataFields count="2">
    <dataField name="Sum of Cases" fld="3" baseField="0" baseItem="0"/>
    <dataField name="Sum of Mortality"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3CA09-B744-476A-9482-6E6C2FE9B370}" name="PivotTable24"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3" firstHeaderRow="0" firstDataRow="1" firstDataCol="1"/>
  <pivotFields count="8">
    <pivotField showAll="0">
      <items count="7">
        <item h="1" x="5"/>
        <item h="1" x="4"/>
        <item x="3"/>
        <item h="1" x="2"/>
        <item h="1" x="1"/>
        <item h="1" x="0"/>
        <item t="default"/>
      </items>
    </pivotField>
    <pivotField showAll="0"/>
    <pivotField showAll="0"/>
    <pivotField dataField="1" showAll="0"/>
    <pivotField showAll="0"/>
    <pivotField showAll="0"/>
    <pivotField axis="axisRow" showAll="0">
      <items count="7">
        <item x="2"/>
        <item h="1" x="5"/>
        <item h="1" x="0"/>
        <item h="1" x="4"/>
        <item h="1" x="1"/>
        <item h="1" x="3"/>
        <item t="default"/>
      </items>
    </pivotField>
    <pivotField dataField="1" showAll="0"/>
  </pivotFields>
  <rowFields count="1">
    <field x="6"/>
  </rowFields>
  <rowItems count="2">
    <i>
      <x/>
    </i>
    <i t="grand">
      <x/>
    </i>
  </rowItems>
  <colFields count="1">
    <field x="-2"/>
  </colFields>
  <colItems count="2">
    <i>
      <x/>
    </i>
    <i i="1">
      <x v="1"/>
    </i>
  </colItems>
  <dataFields count="2">
    <dataField name="Sum of Cases" fld="3" baseField="0" baseItem="0"/>
    <dataField name="Sum of Mortality"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C6C23F-9756-4380-B557-0FE876022E1E}" name="PivotTable20"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35" firstHeaderRow="1" firstDataRow="1" firstDataCol="1"/>
  <pivotFields count="8">
    <pivotField showAll="0"/>
    <pivotField axis="axisRow" showAll="0">
      <items count="33">
        <item x="25"/>
        <item x="27"/>
        <item x="30"/>
        <item x="23"/>
        <item x="8"/>
        <item x="13"/>
        <item x="28"/>
        <item x="1"/>
        <item x="24"/>
        <item x="16"/>
        <item x="9"/>
        <item x="29"/>
        <item x="20"/>
        <item x="17"/>
        <item x="7"/>
        <item x="26"/>
        <item x="18"/>
        <item x="0"/>
        <item x="10"/>
        <item x="2"/>
        <item x="19"/>
        <item x="5"/>
        <item x="22"/>
        <item x="11"/>
        <item x="4"/>
        <item x="15"/>
        <item x="14"/>
        <item x="3"/>
        <item x="6"/>
        <item x="12"/>
        <item x="31"/>
        <item x="21"/>
        <item t="default"/>
      </items>
    </pivotField>
    <pivotField showAll="0"/>
    <pivotField showAll="0"/>
    <pivotField showAll="0"/>
    <pivotField showAll="0"/>
    <pivotField showAll="0"/>
    <pivotField dataField="1"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Mortal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59B17D-891F-42EA-838B-CCBC13D649C3}" name="PivotTable19"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B1B22DA-07C5-499D-8638-1D8E54BAE7FD}" sourceName="Year">
  <data>
    <tabular pivotCacheId="110882531">
      <items count="6">
        <i x="5"/>
        <i x="4" s="1"/>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4D39A141-D573-450F-9EF2-F59F0B0D6236}" sourceName="Year">
  <pivotTables>
    <pivotTable tabId="3" name="PivotTable24"/>
    <pivotTable tabId="3" name="PivotTable25"/>
  </pivotTables>
  <data>
    <tabular pivotCacheId="2043793791">
      <items count="6">
        <i x="4"/>
        <i x="3" s="1"/>
        <i x="2"/>
        <i x="1"/>
        <i x="5"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political_Zone" xr10:uid="{8802705C-7120-4982-BF48-00251360BC0D}" sourceName="Geopolitical Zone">
  <pivotTables>
    <pivotTable tabId="3" name="PivotTable25"/>
    <pivotTable tabId="3" name="PivotTable24"/>
  </pivotTables>
  <data>
    <tabular pivotCacheId="2043793791">
      <items count="6">
        <i x="2" s="1"/>
        <i x="5"/>
        <i x="0"/>
        <i x="4"/>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520EA94F-FC56-4EE2-92DE-2927C656CA73}" sourceName="Year">
  <pivotTables>
    <pivotTable tabId="2" name="PivotTable26"/>
  </pivotTables>
  <data>
    <tabular pivotCacheId="2043793791">
      <items count="6">
        <i x="5" s="1"/>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political_Zone1" xr10:uid="{EABCBC4B-E2E3-4E9F-80D0-7730A2ACB080}" sourceName="Geopolitical Zone">
  <pivotTables>
    <pivotTable tabId="2" name="PivotTable26"/>
  </pivotTables>
  <data>
    <tabular pivotCacheId="2043793791">
      <items count="6">
        <i x="2" s="1"/>
        <i x="5"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3334333-061B-4ADC-85A9-64303F5A8ED7}" cache="Slicer_Year2" caption="Year" rowHeight="241300"/>
  <slicer name="Geopolitical Zone 1" xr10:uid="{B269A8E6-F4CC-454D-A45C-CFD3FDB2EF32}" cache="Slicer_Geopolitical_Zone1" caption="Geopolitical Zo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849F6E9-1307-4C1D-AD4B-B942B9E680CC}" cache="Slicer_Year1" caption="Year" rowHeight="241300"/>
  <slicer name="Year 3" xr10:uid="{6EEB1DD7-0D4B-4F82-BF21-1E1E237EC269}" cache="Slicer_Year3" caption="Year" rowHeight="241300"/>
  <slicer name="Geopolitical Zone" xr10:uid="{C8A25618-D2E6-456B-82D0-E4D1FABD5C58}" cache="Slicer_Geopolitical_Zone" caption="Geopolitical Zo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29F816FB-C9A0-45A4-BCBB-441D9FB8D0D9}" cache="Slicer_Year3" caption="Year" rowHeight="241300"/>
  <slicer name="Geopolitical Zone 2" xr10:uid="{8A8E76CE-E09D-43C5-886B-ECBA53804427}" cache="Slicer_Geopolitical_Zone" caption="Geopolitical Zone" rowHeight="241300"/>
  <slicer name="Year 5" xr10:uid="{EAE40705-B73C-4084-AE05-5CF2C999943B}" cache="Slicer_Year2" caption="Year" rowHeight="241300"/>
  <slicer name="Geopolitical Zone 3" xr10:uid="{352CC20A-599F-4953-A6BA-F5CE9326635F}" cache="Slicer_Geopolitical_Zone1" caption="Geopolitical Zone" rowHeight="24130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422A-9602-43A4-BB78-9A679C445F08}">
  <dimension ref="A1:H339"/>
  <sheetViews>
    <sheetView zoomScaleNormal="100" workbookViewId="0">
      <selection sqref="A1:H339"/>
    </sheetView>
  </sheetViews>
  <sheetFormatPr defaultRowHeight="14.5" x14ac:dyDescent="0.35"/>
  <cols>
    <col min="3" max="3" width="11.08984375" customWidth="1"/>
    <col min="6" max="6" width="19.7265625" customWidth="1"/>
    <col min="7" max="7" width="11.54296875" customWidth="1"/>
  </cols>
  <sheetData>
    <row r="1" spans="1:8" ht="15" thickBot="1" x14ac:dyDescent="0.4">
      <c r="A1" t="s">
        <v>0</v>
      </c>
      <c r="B1" t="s">
        <v>1</v>
      </c>
      <c r="C1" t="s">
        <v>2</v>
      </c>
      <c r="D1" t="s">
        <v>3</v>
      </c>
      <c r="E1" t="s">
        <v>4</v>
      </c>
      <c r="F1" t="s">
        <v>5</v>
      </c>
      <c r="G1" t="s">
        <v>43</v>
      </c>
      <c r="H1" t="s">
        <v>47</v>
      </c>
    </row>
    <row r="2" spans="1:8" ht="15" thickBot="1" x14ac:dyDescent="0.4">
      <c r="A2" s="1">
        <v>2025</v>
      </c>
      <c r="B2" s="1" t="s">
        <v>6</v>
      </c>
      <c r="C2" s="1">
        <v>50</v>
      </c>
      <c r="D2" s="1">
        <v>50</v>
      </c>
      <c r="E2" s="2">
        <v>7</v>
      </c>
      <c r="F2" s="2">
        <v>43</v>
      </c>
      <c r="G2" t="str" cm="1">
        <f t="array" ref="G2">_xlfn.IFS(
    OR(B2="Benue",B2="Kogi",B2="Kwara",B2="Nasarawa",B2="Niger",B2="Plateau",B2="FCT"),"North Central",
    OR(B2="Adamawa",B2="Bauchi",B2="Borno",B2="Gombe",B2="Taraba",B2="Yobe"),"North East",
    OR(B2="Kaduna",B2="Kano",B2="Katsina",B2="Kebbi",B2="Sokoto",B2="Zamfara","Jigawa"),"North West",
    OR(B2="Abia",B2="Anambra",B2="Ebonyi",B2="Enugu",B2="Imo"),"South East",
    OR(B2="Akwa Ibom",B2="Bayelsa",B2="Cross River",B2="Delta",B2="Edo",B2="Rivers"),"South South",
    OR(B2="Ekiti",B2="Lagos",B2="Ogun",B2="Ondo",B2="Osun",B2="Oyo"),"South West"
)</f>
        <v>North West</v>
      </c>
      <c r="H2">
        <f>E2+F2</f>
        <v>50</v>
      </c>
    </row>
    <row r="3" spans="1:8" ht="15" thickBot="1" x14ac:dyDescent="0.4">
      <c r="A3" s="3">
        <v>2024</v>
      </c>
      <c r="B3" s="3" t="s">
        <v>7</v>
      </c>
      <c r="C3" s="3">
        <v>1590</v>
      </c>
      <c r="D3" s="3">
        <v>1590</v>
      </c>
      <c r="E3" s="4">
        <v>1590</v>
      </c>
      <c r="F3" s="4"/>
      <c r="G3" t="str" cm="1">
        <f t="array" ref="G3">_xlfn.IFS(
    OR(B3="Benue",B3="Kogi",B3="Kwara",B3="Nasarawa",B3="Niger",B3="Plateau",B3="FCT"),"North Central",
    OR(B3="Adamawa",B3="Bauchi",B3="Borno",B3="Gombe",B3="Taraba",B3="Yobe"),"North East",
    OR(B3="Kaduna",B3="Kano",B3="Katsina",B3="Kebbi",B3="Sokoto",B3="Zamfara","Jigawa"),"North West",
    OR(B3="Abia",B3="Anambra",B3="Ebonyi",B3="Enugu",B3="Imo"),"South East",
    OR(B3="Akwa Ibom",B3="Bayelsa",B3="Cross River",B3="Delta",B3="Edo",B3="Rivers"),"South South",
    OR(B3="Ekiti",B3="Lagos",B3="Ogun",B3="Ondo",B3="Osun",B3="Oyo"),"South West"
)</f>
        <v>South South</v>
      </c>
      <c r="H3">
        <f t="shared" ref="H3:H66" si="0">E3+F3</f>
        <v>1590</v>
      </c>
    </row>
    <row r="4" spans="1:8" ht="15" thickBot="1" x14ac:dyDescent="0.4">
      <c r="A4" s="3">
        <v>2024</v>
      </c>
      <c r="B4" s="3" t="s">
        <v>8</v>
      </c>
      <c r="C4" s="3">
        <v>14</v>
      </c>
      <c r="D4" s="3">
        <v>14</v>
      </c>
      <c r="E4" s="4">
        <v>10</v>
      </c>
      <c r="F4" s="4">
        <v>4</v>
      </c>
      <c r="G4" t="str" cm="1">
        <f t="array" ref="G4">_xlfn.IFS(
    OR(B4="Benue",B4="Kogi",B4="Kwara",B4="Nasarawa",B4="Niger",B4="Plateau",B4="FCT"),"North Central",
    OR(B4="Adamawa",B4="Bauchi",B4="Borno",B4="Gombe",B4="Taraba",B4="Yobe"),"North East",
    OR(B4="Kaduna",B4="Kano",B4="Katsina",B4="Kebbi",B4="Sokoto",B4="Zamfara","Jigawa"),"North West",
    OR(B4="Abia",B4="Anambra",B4="Ebonyi",B4="Enugu",B4="Imo"),"South East",
    OR(B4="Akwa Ibom",B4="Bayelsa",B4="Cross River",B4="Delta",B4="Edo",B4="Rivers"),"South South",
    OR(B4="Ekiti",B4="Lagos",B4="Ogun",B4="Ondo",B4="Osun",B4="Oyo"),"South West"
)</f>
        <v>North West</v>
      </c>
      <c r="H4">
        <f t="shared" si="0"/>
        <v>14</v>
      </c>
    </row>
    <row r="5" spans="1:8" ht="15" thickBot="1" x14ac:dyDescent="0.4">
      <c r="A5" s="3">
        <v>2024</v>
      </c>
      <c r="B5" s="3" t="s">
        <v>9</v>
      </c>
      <c r="C5" s="3">
        <v>2</v>
      </c>
      <c r="D5" s="3">
        <v>2</v>
      </c>
      <c r="E5" s="4">
        <v>2</v>
      </c>
      <c r="F5" s="4"/>
      <c r="G5" t="str" cm="1">
        <f t="array" ref="G5">_xlfn.IFS(
    OR(B5="Benue",B5="Kogi",B5="Kwara",B5="Nasarawa",B5="Niger",B5="Plateau",B5="FCT"),"North Central",
    OR(B5="Adamawa",B5="Bauchi",B5="Borno",B5="Gombe",B5="Taraba",B5="Yobe"),"North East",
    OR(B5="Kaduna",B5="Kano",B5="Katsina",B5="Kebbi",B5="Sokoto",B5="Zamfara","Jigawa"),"North West",
    OR(B5="Abia",B5="Anambra",B5="Ebonyi",B5="Enugu",B5="Imo"),"South East",
    OR(B5="Akwa Ibom",B5="Bayelsa",B5="Cross River",B5="Delta",B5="Edo",B5="Rivers"),"South South",
    OR(B5="Ekiti",B5="Lagos",B5="Ogun",B5="Ondo",B5="Osun",B5="Oyo"),"South West"
)</f>
        <v>North Central</v>
      </c>
      <c r="H5">
        <f t="shared" si="0"/>
        <v>2</v>
      </c>
    </row>
    <row r="6" spans="1:8" ht="15" thickBot="1" x14ac:dyDescent="0.4">
      <c r="A6" s="3">
        <v>2024</v>
      </c>
      <c r="B6" s="3" t="s">
        <v>9</v>
      </c>
      <c r="C6" s="3">
        <v>2500</v>
      </c>
      <c r="D6" s="3">
        <v>2500</v>
      </c>
      <c r="E6" s="4">
        <v>27</v>
      </c>
      <c r="F6" s="4">
        <v>2473</v>
      </c>
      <c r="G6" t="str" cm="1">
        <f t="array" ref="G6">_xlfn.IFS(
    OR(B6="Benue",B6="Kogi",B6="Kwara",B6="Nasarawa",B6="Niger",B6="Plateau",B6="FCT"),"North Central",
    OR(B6="Adamawa",B6="Bauchi",B6="Borno",B6="Gombe",B6="Taraba",B6="Yobe"),"North East",
    OR(B6="Kaduna",B6="Kano",B6="Katsina",B6="Kebbi",B6="Sokoto",B6="Zamfara","Jigawa"),"North West",
    OR(B6="Abia",B6="Anambra",B6="Ebonyi",B6="Enugu",B6="Imo"),"South East",
    OR(B6="Akwa Ibom",B6="Bayelsa",B6="Cross River",B6="Delta",B6="Edo",B6="Rivers"),"South South",
    OR(B6="Ekiti",B6="Lagos",B6="Ogun",B6="Ondo",B6="Osun",B6="Oyo"),"South West"
)</f>
        <v>North Central</v>
      </c>
      <c r="H6">
        <f t="shared" si="0"/>
        <v>2500</v>
      </c>
    </row>
    <row r="7" spans="1:8" ht="15" thickBot="1" x14ac:dyDescent="0.4">
      <c r="A7" s="3">
        <v>2023</v>
      </c>
      <c r="B7" s="3" t="s">
        <v>10</v>
      </c>
      <c r="C7" s="3">
        <v>5098</v>
      </c>
      <c r="D7" s="3">
        <v>5098</v>
      </c>
      <c r="E7" s="4">
        <v>1878</v>
      </c>
      <c r="F7" s="4">
        <v>3220</v>
      </c>
      <c r="G7" t="str" cm="1">
        <f t="array" ref="G7">_xlfn.IFS(
    OR(B7="Benue",B7="Kogi",B7="Kwara",B7="Nasarawa",B7="Niger",B7="Plateau",B7="FCT"),"North Central",
    OR(B7="Adamawa",B7="Bauchi",B7="Borno",B7="Gombe",B7="Taraba",B7="Yobe"),"North East",
    OR(B7="Kaduna",B7="Kano",B7="Katsina",B7="Kebbi",B7="Sokoto",B7="Zamfara","Jigawa"),"North West",
    OR(B7="Abia",B7="Anambra",B7="Ebonyi",B7="Enugu",B7="Imo"),"South East",
    OR(B7="Akwa Ibom",B7="Bayelsa",B7="Cross River",B7="Delta",B7="Edo",B7="Rivers"),"South South",
    OR(B7="Ekiti",B7="Lagos",B7="Ogun",B7="Ondo",B7="Osun",B7="Oyo"),"South West"
)</f>
        <v>South West</v>
      </c>
      <c r="H7">
        <f t="shared" si="0"/>
        <v>5098</v>
      </c>
    </row>
    <row r="8" spans="1:8" ht="15" thickBot="1" x14ac:dyDescent="0.4">
      <c r="A8" s="3">
        <v>2023</v>
      </c>
      <c r="B8" s="3" t="s">
        <v>11</v>
      </c>
      <c r="C8" s="3">
        <v>6500</v>
      </c>
      <c r="D8" s="3">
        <v>6500</v>
      </c>
      <c r="E8" s="4">
        <v>1000</v>
      </c>
      <c r="F8" s="4">
        <v>5500</v>
      </c>
      <c r="G8" t="str" cm="1">
        <f t="array" ref="G8">_xlfn.IFS(
    OR(B8="Benue",B8="Kogi",B8="Kwara",B8="Nasarawa",B8="Niger",B8="Plateau",B8="FCT"),"North Central",
    OR(B8="Adamawa",B8="Bauchi",B8="Borno",B8="Gombe",B8="Taraba",B8="Yobe"),"North East",
    OR(B8="Kaduna",B8="Kano",B8="Katsina",B8="Kebbi",B8="Sokoto",B8="Zamfara","Jigawa"),"North West",
    OR(B8="Abia",B8="Anambra",B8="Ebonyi",B8="Enugu",B8="Imo"),"South East",
    OR(B8="Akwa Ibom",B8="Bayelsa",B8="Cross River",B8="Delta",B8="Edo",B8="Rivers"),"South South",
    OR(B8="Ekiti",B8="Lagos",B8="Ogun",B8="Ondo",B8="Osun",B8="Oyo"),"South West"
)</f>
        <v>South West</v>
      </c>
      <c r="H8">
        <f t="shared" si="0"/>
        <v>6500</v>
      </c>
    </row>
    <row r="9" spans="1:8" ht="15" thickBot="1" x14ac:dyDescent="0.4">
      <c r="A9" s="3">
        <v>2023</v>
      </c>
      <c r="B9" s="3" t="s">
        <v>12</v>
      </c>
      <c r="C9" s="3">
        <v>1800</v>
      </c>
      <c r="D9" s="3">
        <v>1800</v>
      </c>
      <c r="E9" s="4">
        <v>150</v>
      </c>
      <c r="F9" s="4">
        <v>1650</v>
      </c>
      <c r="G9" t="str" cm="1">
        <f t="array" ref="G9">_xlfn.IFS(
    OR(B9="Benue",B9="Kogi",B9="Kwara",B9="Nasarawa",B9="Niger",B9="Plateau",B9="FCT"),"North Central",
    OR(B9="Adamawa",B9="Bauchi",B9="Borno",B9="Gombe",B9="Taraba",B9="Yobe"),"North East",
    OR(B9="Kaduna",B9="Kano",B9="Katsina",B9="Kebbi",B9="Sokoto",B9="Zamfara","Jigawa"),"North West",
    OR(B9="Abia",B9="Anambra",B9="Ebonyi",B9="Enugu",B9="Imo"),"South East",
    OR(B9="Akwa Ibom",B9="Bayelsa",B9="Cross River",B9="Delta",B9="Edo",B9="Rivers"),"South South",
    OR(B9="Ekiti",B9="Lagos",B9="Ogun",B9="Ondo",B9="Osun",B9="Oyo"),"South West"
)</f>
        <v>South South</v>
      </c>
      <c r="H9">
        <f t="shared" si="0"/>
        <v>1800</v>
      </c>
    </row>
    <row r="10" spans="1:8" ht="15" thickBot="1" x14ac:dyDescent="0.4">
      <c r="A10" s="3">
        <v>2023</v>
      </c>
      <c r="B10" s="3" t="s">
        <v>6</v>
      </c>
      <c r="C10" s="3">
        <v>2000</v>
      </c>
      <c r="D10" s="3">
        <v>2000</v>
      </c>
      <c r="E10" s="4">
        <v>45</v>
      </c>
      <c r="F10" s="4">
        <v>1955</v>
      </c>
      <c r="G10" t="str" cm="1">
        <f t="array" ref="G10">_xlfn.IFS(
    OR(B10="Benue",B10="Kogi",B10="Kwara",B10="Nasarawa",B10="Niger",B10="Plateau",B10="FCT"),"North Central",
    OR(B10="Adamawa",B10="Bauchi",B10="Borno",B10="Gombe",B10="Taraba",B10="Yobe"),"North East",
    OR(B10="Kaduna",B10="Kano",B10="Katsina",B10="Kebbi",B10="Sokoto",B10="Zamfara","Jigawa"),"North West",
    OR(B10="Abia",B10="Anambra",B10="Ebonyi",B10="Enugu",B10="Imo"),"South East",
    OR(B10="Akwa Ibom",B10="Bayelsa",B10="Cross River",B10="Delta",B10="Edo",B10="Rivers"),"South South",
    OR(B10="Ekiti",B10="Lagos",B10="Ogun",B10="Ondo",B10="Osun",B10="Oyo"),"South West"
)</f>
        <v>North West</v>
      </c>
      <c r="H10">
        <f t="shared" si="0"/>
        <v>2000</v>
      </c>
    </row>
    <row r="11" spans="1:8" ht="15" thickBot="1" x14ac:dyDescent="0.4">
      <c r="A11" s="3">
        <v>2023</v>
      </c>
      <c r="B11" s="3" t="s">
        <v>6</v>
      </c>
      <c r="C11" s="3">
        <v>2700</v>
      </c>
      <c r="D11" s="3">
        <v>2700</v>
      </c>
      <c r="E11" s="4">
        <v>300</v>
      </c>
      <c r="F11" s="4">
        <v>2400</v>
      </c>
      <c r="G11" t="str" cm="1">
        <f t="array" ref="G11">_xlfn.IFS(
    OR(B11="Benue",B11="Kogi",B11="Kwara",B11="Nasarawa",B11="Niger",B11="Plateau",B11="FCT"),"North Central",
    OR(B11="Adamawa",B11="Bauchi",B11="Borno",B11="Gombe",B11="Taraba",B11="Yobe"),"North East",
    OR(B11="Kaduna",B11="Kano",B11="Katsina",B11="Kebbi",B11="Sokoto",B11="Zamfara","Jigawa"),"North West",
    OR(B11="Abia",B11="Anambra",B11="Ebonyi",B11="Enugu",B11="Imo"),"South East",
    OR(B11="Akwa Ibom",B11="Bayelsa",B11="Cross River",B11="Delta",B11="Edo",B11="Rivers"),"South South",
    OR(B11="Ekiti",B11="Lagos",B11="Ogun",B11="Ondo",B11="Osun",B11="Oyo"),"South West"
)</f>
        <v>North West</v>
      </c>
      <c r="H11">
        <f t="shared" si="0"/>
        <v>2700</v>
      </c>
    </row>
    <row r="12" spans="1:8" ht="15" thickBot="1" x14ac:dyDescent="0.4">
      <c r="A12" s="3">
        <v>2023</v>
      </c>
      <c r="B12" s="3" t="s">
        <v>13</v>
      </c>
      <c r="C12" s="3">
        <v>1000</v>
      </c>
      <c r="D12" s="3">
        <v>1000</v>
      </c>
      <c r="E12" s="4">
        <v>175</v>
      </c>
      <c r="F12" s="4">
        <v>825</v>
      </c>
      <c r="G12" t="str" cm="1">
        <f t="array" ref="G12">_xlfn.IFS(
    OR(B12="Benue",B12="Kogi",B12="Kwara",B12="Nasarawa",B12="Niger",B12="Plateau",B12="FCT"),"North Central",
    OR(B12="Adamawa",B12="Bauchi",B12="Borno",B12="Gombe",B12="Taraba",B12="Yobe"),"North East",
    OR(B12="Kaduna",B12="Kano",B12="Katsina",B12="Kebbi",B12="Sokoto",B12="Zamfara","Jigawa"),"North West",
    OR(B12="Abia",B12="Anambra",B12="Ebonyi",B12="Enugu",B12="Imo"),"South East",
    OR(B12="Akwa Ibom",B12="Bayelsa",B12="Cross River",B12="Delta",B12="Edo",B12="Rivers"),"South South",
    OR(B12="Ekiti",B12="Lagos",B12="Ogun",B12="Ondo",B12="Osun",B12="Oyo"),"South West"
)</f>
        <v>South East</v>
      </c>
      <c r="H12">
        <f t="shared" si="0"/>
        <v>1000</v>
      </c>
    </row>
    <row r="13" spans="1:8" ht="15" thickBot="1" x14ac:dyDescent="0.4">
      <c r="A13" s="3">
        <v>2023</v>
      </c>
      <c r="B13" s="3" t="s">
        <v>6</v>
      </c>
      <c r="C13" s="3">
        <v>420</v>
      </c>
      <c r="D13" s="3">
        <v>420</v>
      </c>
      <c r="E13" s="4">
        <v>4</v>
      </c>
      <c r="F13" s="4">
        <v>416</v>
      </c>
      <c r="G13" t="str" cm="1">
        <f t="array" ref="G13">_xlfn.IFS(
    OR(B13="Benue",B13="Kogi",B13="Kwara",B13="Nasarawa",B13="Niger",B13="Plateau",B13="FCT"),"North Central",
    OR(B13="Adamawa",B13="Bauchi",B13="Borno",B13="Gombe",B13="Taraba",B13="Yobe"),"North East",
    OR(B13="Kaduna",B13="Kano",B13="Katsina",B13="Kebbi",B13="Sokoto",B13="Zamfara","Jigawa"),"North West",
    OR(B13="Abia",B13="Anambra",B13="Ebonyi",B13="Enugu",B13="Imo"),"South East",
    OR(B13="Akwa Ibom",B13="Bayelsa",B13="Cross River",B13="Delta",B13="Edo",B13="Rivers"),"South South",
    OR(B13="Ekiti",B13="Lagos",B13="Ogun",B13="Ondo",B13="Osun",B13="Oyo"),"South West"
)</f>
        <v>North West</v>
      </c>
      <c r="H13">
        <f t="shared" si="0"/>
        <v>420</v>
      </c>
    </row>
    <row r="14" spans="1:8" ht="15" thickBot="1" x14ac:dyDescent="0.4">
      <c r="A14" s="3">
        <v>2023</v>
      </c>
      <c r="B14" s="3" t="s">
        <v>14</v>
      </c>
      <c r="C14" s="3">
        <v>1000</v>
      </c>
      <c r="D14" s="3">
        <v>1000</v>
      </c>
      <c r="E14" s="4">
        <v>200</v>
      </c>
      <c r="F14" s="4">
        <v>800</v>
      </c>
      <c r="G14" t="str" cm="1">
        <f t="array" ref="G14">_xlfn.IFS(
    OR(B14="Benue",B14="Kogi",B14="Kwara",B14="Nasarawa",B14="Niger",B14="Plateau",B14="FCT"),"North Central",
    OR(B14="Adamawa",B14="Bauchi",B14="Borno",B14="Gombe",B14="Taraba",B14="Yobe"),"North East",
    OR(B14="Kaduna",B14="Kano",B14="Katsina",B14="Kebbi",B14="Sokoto",B14="Zamfara","Jigawa"),"North West",
    OR(B14="Abia",B14="Anambra",B14="Ebonyi",B14="Enugu",B14="Imo"),"South East",
    OR(B14="Akwa Ibom",B14="Bayelsa",B14="Cross River",B14="Delta",B14="Edo",B14="Rivers"),"South South",
    OR(B14="Ekiti",B14="Lagos",B14="Ogun",B14="Ondo",B14="Osun",B14="Oyo"),"South West"
)</f>
        <v>North East</v>
      </c>
      <c r="H14">
        <f t="shared" si="0"/>
        <v>1000</v>
      </c>
    </row>
    <row r="15" spans="1:8" ht="15" thickBot="1" x14ac:dyDescent="0.4">
      <c r="A15" s="3">
        <v>2023</v>
      </c>
      <c r="B15" s="3" t="s">
        <v>6</v>
      </c>
      <c r="C15" s="3">
        <v>10700</v>
      </c>
      <c r="D15" s="3">
        <v>10700</v>
      </c>
      <c r="E15" s="4">
        <v>2700</v>
      </c>
      <c r="F15" s="4">
        <v>8000</v>
      </c>
      <c r="G15" t="str" cm="1">
        <f t="array" ref="G15">_xlfn.IFS(
    OR(B15="Benue",B15="Kogi",B15="Kwara",B15="Nasarawa",B15="Niger",B15="Plateau",B15="FCT"),"North Central",
    OR(B15="Adamawa",B15="Bauchi",B15="Borno",B15="Gombe",B15="Taraba",B15="Yobe"),"North East",
    OR(B15="Kaduna",B15="Kano",B15="Katsina",B15="Kebbi",B15="Sokoto",B15="Zamfara","Jigawa"),"North West",
    OR(B15="Abia",B15="Anambra",B15="Ebonyi",B15="Enugu",B15="Imo"),"South East",
    OR(B15="Akwa Ibom",B15="Bayelsa",B15="Cross River",B15="Delta",B15="Edo",B15="Rivers"),"South South",
    OR(B15="Ekiti",B15="Lagos",B15="Ogun",B15="Ondo",B15="Osun",B15="Oyo"),"South West"
)</f>
        <v>North West</v>
      </c>
      <c r="H15">
        <f t="shared" si="0"/>
        <v>10700</v>
      </c>
    </row>
    <row r="16" spans="1:8" ht="15" thickBot="1" x14ac:dyDescent="0.4">
      <c r="A16" s="3">
        <v>2023</v>
      </c>
      <c r="B16" s="3" t="s">
        <v>9</v>
      </c>
      <c r="C16" s="3">
        <v>1000</v>
      </c>
      <c r="D16" s="3">
        <v>1000</v>
      </c>
      <c r="E16" s="4">
        <v>180</v>
      </c>
      <c r="F16" s="4">
        <v>820</v>
      </c>
      <c r="G16" t="str" cm="1">
        <f t="array" ref="G16">_xlfn.IFS(
    OR(B16="Benue",B16="Kogi",B16="Kwara",B16="Nasarawa",B16="Niger",B16="Plateau",B16="FCT"),"North Central",
    OR(B16="Adamawa",B16="Bauchi",B16="Borno",B16="Gombe",B16="Taraba",B16="Yobe"),"North East",
    OR(B16="Kaduna",B16="Kano",B16="Katsina",B16="Kebbi",B16="Sokoto",B16="Zamfara","Jigawa"),"North West",
    OR(B16="Abia",B16="Anambra",B16="Ebonyi",B16="Enugu",B16="Imo"),"South East",
    OR(B16="Akwa Ibom",B16="Bayelsa",B16="Cross River",B16="Delta",B16="Edo",B16="Rivers"),"South South",
    OR(B16="Ekiti",B16="Lagos",B16="Ogun",B16="Ondo",B16="Osun",B16="Oyo"),"South West"
)</f>
        <v>North Central</v>
      </c>
      <c r="H16">
        <f t="shared" si="0"/>
        <v>1000</v>
      </c>
    </row>
    <row r="17" spans="1:8" ht="15" thickBot="1" x14ac:dyDescent="0.4">
      <c r="A17" s="3">
        <v>2023</v>
      </c>
      <c r="B17" s="3" t="s">
        <v>15</v>
      </c>
      <c r="C17" s="3">
        <v>609</v>
      </c>
      <c r="D17" s="3">
        <v>609</v>
      </c>
      <c r="E17" s="4">
        <v>305</v>
      </c>
      <c r="F17" s="4">
        <v>304</v>
      </c>
      <c r="G17" t="str" cm="1">
        <f t="array" ref="G17">_xlfn.IFS(
    OR(B17="Benue",B17="Kogi",B17="Kwara",B17="Nasarawa",B17="Niger",B17="Plateau",B17="FCT"),"North Central",
    OR(B17="Adamawa",B17="Bauchi",B17="Borno",B17="Gombe",B17="Taraba",B17="Yobe"),"North East",
    OR(B17="Kaduna",B17="Kano",B17="Katsina",B17="Kebbi",B17="Sokoto",B17="Zamfara","Jigawa"),"North West",
    OR(B17="Abia",B17="Anambra",B17="Ebonyi",B17="Enugu",B17="Imo"),"South East",
    OR(B17="Akwa Ibom",B17="Bayelsa",B17="Cross River",B17="Delta",B17="Edo",B17="Rivers"),"South South",
    OR(B17="Ekiti",B17="Lagos",B17="Ogun",B17="Ondo",B17="Osun",B17="Oyo"),"South West"
)</f>
        <v>South West</v>
      </c>
      <c r="H17">
        <f t="shared" si="0"/>
        <v>609</v>
      </c>
    </row>
    <row r="18" spans="1:8" ht="15" thickBot="1" x14ac:dyDescent="0.4">
      <c r="A18" s="3">
        <v>2023</v>
      </c>
      <c r="B18" s="3" t="s">
        <v>16</v>
      </c>
      <c r="C18" s="3">
        <v>1200</v>
      </c>
      <c r="D18" s="3">
        <v>1200</v>
      </c>
      <c r="E18" s="4">
        <v>96</v>
      </c>
      <c r="F18" s="4">
        <v>1104</v>
      </c>
      <c r="G18" t="str" cm="1">
        <f t="array" ref="G18">_xlfn.IFS(
    OR(B18="Benue",B18="Kogi",B18="Kwara",B18="Nasarawa",B18="Niger",B18="Plateau",B18="FCT"),"North Central",
    OR(B18="Adamawa",B18="Bauchi",B18="Borno",B18="Gombe",B18="Taraba",B18="Yobe"),"North East",
    OR(B18="Kaduna",B18="Kano",B18="Katsina",B18="Kebbi",B18="Sokoto",B18="Zamfara","Jigawa"),"North West",
    OR(B18="Abia",B18="Anambra",B18="Ebonyi",B18="Enugu",B18="Imo"),"South East",
    OR(B18="Akwa Ibom",B18="Bayelsa",B18="Cross River",B18="Delta",B18="Edo",B18="Rivers"),"South South",
    OR(B18="Ekiti",B18="Lagos",B18="Ogun",B18="Ondo",B18="Osun",B18="Oyo"),"South West"
)</f>
        <v>North West</v>
      </c>
      <c r="H18">
        <f t="shared" si="0"/>
        <v>1200</v>
      </c>
    </row>
    <row r="19" spans="1:8" ht="15" thickBot="1" x14ac:dyDescent="0.4">
      <c r="A19" s="3">
        <v>2023</v>
      </c>
      <c r="B19" s="3" t="s">
        <v>16</v>
      </c>
      <c r="C19" s="3">
        <v>40000</v>
      </c>
      <c r="D19" s="3">
        <v>40000</v>
      </c>
      <c r="E19" s="4">
        <v>11300</v>
      </c>
      <c r="F19" s="4">
        <v>28700</v>
      </c>
      <c r="G19" t="str" cm="1">
        <f t="array" ref="G19">_xlfn.IFS(
    OR(B19="Benue",B19="Kogi",B19="Kwara",B19="Nasarawa",B19="Niger",B19="Plateau",B19="FCT"),"North Central",
    OR(B19="Adamawa",B19="Bauchi",B19="Borno",B19="Gombe",B19="Taraba",B19="Yobe"),"North East",
    OR(B19="Kaduna",B19="Kano",B19="Katsina",B19="Kebbi",B19="Sokoto",B19="Zamfara","Jigawa"),"North West",
    OR(B19="Abia",B19="Anambra",B19="Ebonyi",B19="Enugu",B19="Imo"),"South East",
    OR(B19="Akwa Ibom",B19="Bayelsa",B19="Cross River",B19="Delta",B19="Edo",B19="Rivers"),"South South",
    OR(B19="Ekiti",B19="Lagos",B19="Ogun",B19="Ondo",B19="Osun",B19="Oyo"),"South West"
)</f>
        <v>North West</v>
      </c>
      <c r="H19">
        <f t="shared" si="0"/>
        <v>40000</v>
      </c>
    </row>
    <row r="20" spans="1:8" ht="15" thickBot="1" x14ac:dyDescent="0.4">
      <c r="A20" s="3">
        <v>2023</v>
      </c>
      <c r="B20" s="3" t="s">
        <v>6</v>
      </c>
      <c r="C20" s="3">
        <v>230</v>
      </c>
      <c r="D20" s="3">
        <v>230</v>
      </c>
      <c r="E20" s="4">
        <v>25</v>
      </c>
      <c r="F20" s="4">
        <v>205</v>
      </c>
      <c r="G20" t="str" cm="1">
        <f t="array" ref="G20">_xlfn.IFS(
    OR(B20="Benue",B20="Kogi",B20="Kwara",B20="Nasarawa",B20="Niger",B20="Plateau",B20="FCT"),"North Central",
    OR(B20="Adamawa",B20="Bauchi",B20="Borno",B20="Gombe",B20="Taraba",B20="Yobe"),"North East",
    OR(B20="Kaduna",B20="Kano",B20="Katsina",B20="Kebbi",B20="Sokoto",B20="Zamfara","Jigawa"),"North West",
    OR(B20="Abia",B20="Anambra",B20="Ebonyi",B20="Enugu",B20="Imo"),"South East",
    OR(B20="Akwa Ibom",B20="Bayelsa",B20="Cross River",B20="Delta",B20="Edo",B20="Rivers"),"South South",
    OR(B20="Ekiti",B20="Lagos",B20="Ogun",B20="Ondo",B20="Osun",B20="Oyo"),"South West"
)</f>
        <v>North West</v>
      </c>
      <c r="H20">
        <f t="shared" si="0"/>
        <v>230</v>
      </c>
    </row>
    <row r="21" spans="1:8" ht="15" thickBot="1" x14ac:dyDescent="0.4">
      <c r="A21" s="3">
        <v>2023</v>
      </c>
      <c r="B21" s="3" t="s">
        <v>6</v>
      </c>
      <c r="C21" s="3">
        <v>2100</v>
      </c>
      <c r="D21" s="3">
        <v>2100</v>
      </c>
      <c r="E21" s="4">
        <v>790</v>
      </c>
      <c r="F21" s="4">
        <v>1310</v>
      </c>
      <c r="G21" t="str" cm="1">
        <f t="array" ref="G21">_xlfn.IFS(
    OR(B21="Benue",B21="Kogi",B21="Kwara",B21="Nasarawa",B21="Niger",B21="Plateau",B21="FCT"),"North Central",
    OR(B21="Adamawa",B21="Bauchi",B21="Borno",B21="Gombe",B21="Taraba",B21="Yobe"),"North East",
    OR(B21="Kaduna",B21="Kano",B21="Katsina",B21="Kebbi",B21="Sokoto",B21="Zamfara","Jigawa"),"North West",
    OR(B21="Abia",B21="Anambra",B21="Ebonyi",B21="Enugu",B21="Imo"),"South East",
    OR(B21="Akwa Ibom",B21="Bayelsa",B21="Cross River",B21="Delta",B21="Edo",B21="Rivers"),"South South",
    OR(B21="Ekiti",B21="Lagos",B21="Ogun",B21="Ondo",B21="Osun",B21="Oyo"),"South West"
)</f>
        <v>North West</v>
      </c>
      <c r="H21">
        <f t="shared" si="0"/>
        <v>2100</v>
      </c>
    </row>
    <row r="22" spans="1:8" ht="15" thickBot="1" x14ac:dyDescent="0.4">
      <c r="A22" s="3">
        <v>2023</v>
      </c>
      <c r="B22" s="3" t="s">
        <v>6</v>
      </c>
      <c r="C22" s="3">
        <v>3200</v>
      </c>
      <c r="D22" s="3">
        <v>3200</v>
      </c>
      <c r="E22" s="4">
        <v>60</v>
      </c>
      <c r="F22" s="4">
        <v>3140</v>
      </c>
      <c r="G22" t="str" cm="1">
        <f t="array" ref="G22">_xlfn.IFS(
    OR(B22="Benue",B22="Kogi",B22="Kwara",B22="Nasarawa",B22="Niger",B22="Plateau",B22="FCT"),"North Central",
    OR(B22="Adamawa",B22="Bauchi",B22="Borno",B22="Gombe",B22="Taraba",B22="Yobe"),"North East",
    OR(B22="Kaduna",B22="Kano",B22="Katsina",B22="Kebbi",B22="Sokoto",B22="Zamfara","Jigawa"),"North West",
    OR(B22="Abia",B22="Anambra",B22="Ebonyi",B22="Enugu",B22="Imo"),"South East",
    OR(B22="Akwa Ibom",B22="Bayelsa",B22="Cross River",B22="Delta",B22="Edo",B22="Rivers"),"South South",
    OR(B22="Ekiti",B22="Lagos",B22="Ogun",B22="Ondo",B22="Osun",B22="Oyo"),"South West"
)</f>
        <v>North West</v>
      </c>
      <c r="H22">
        <f t="shared" si="0"/>
        <v>3200</v>
      </c>
    </row>
    <row r="23" spans="1:8" ht="15" thickBot="1" x14ac:dyDescent="0.4">
      <c r="A23" s="3">
        <v>2023</v>
      </c>
      <c r="B23" s="3" t="s">
        <v>6</v>
      </c>
      <c r="C23" s="3">
        <v>491</v>
      </c>
      <c r="D23" s="3">
        <v>491</v>
      </c>
      <c r="E23" s="4">
        <v>200</v>
      </c>
      <c r="F23" s="4">
        <v>291</v>
      </c>
      <c r="G23" t="str" cm="1">
        <f t="array" ref="G23">_xlfn.IFS(
    OR(B23="Benue",B23="Kogi",B23="Kwara",B23="Nasarawa",B23="Niger",B23="Plateau",B23="FCT"),"North Central",
    OR(B23="Adamawa",B23="Bauchi",B23="Borno",B23="Gombe",B23="Taraba",B23="Yobe"),"North East",
    OR(B23="Kaduna",B23="Kano",B23="Katsina",B23="Kebbi",B23="Sokoto",B23="Zamfara","Jigawa"),"North West",
    OR(B23="Abia",B23="Anambra",B23="Ebonyi",B23="Enugu",B23="Imo"),"South East",
    OR(B23="Akwa Ibom",B23="Bayelsa",B23="Cross River",B23="Delta",B23="Edo",B23="Rivers"),"South South",
    OR(B23="Ekiti",B23="Lagos",B23="Ogun",B23="Ondo",B23="Osun",B23="Oyo"),"South West"
)</f>
        <v>North West</v>
      </c>
      <c r="H23">
        <f t="shared" si="0"/>
        <v>491</v>
      </c>
    </row>
    <row r="24" spans="1:8" ht="15" thickBot="1" x14ac:dyDescent="0.4">
      <c r="A24" s="3">
        <v>2023</v>
      </c>
      <c r="B24" s="3" t="s">
        <v>6</v>
      </c>
      <c r="C24" s="3">
        <v>3900</v>
      </c>
      <c r="D24" s="3">
        <v>3900</v>
      </c>
      <c r="E24" s="4">
        <v>1900</v>
      </c>
      <c r="F24" s="4">
        <v>2000</v>
      </c>
      <c r="G24" t="str" cm="1">
        <f t="array" ref="G24">_xlfn.IFS(
    OR(B24="Benue",B24="Kogi",B24="Kwara",B24="Nasarawa",B24="Niger",B24="Plateau",B24="FCT"),"North Central",
    OR(B24="Adamawa",B24="Bauchi",B24="Borno",B24="Gombe",B24="Taraba",B24="Yobe"),"North East",
    OR(B24="Kaduna",B24="Kano",B24="Katsina",B24="Kebbi",B24="Sokoto",B24="Zamfara","Jigawa"),"North West",
    OR(B24="Abia",B24="Anambra",B24="Ebonyi",B24="Enugu",B24="Imo"),"South East",
    OR(B24="Akwa Ibom",B24="Bayelsa",B24="Cross River",B24="Delta",B24="Edo",B24="Rivers"),"South South",
    OR(B24="Ekiti",B24="Lagos",B24="Ogun",B24="Ondo",B24="Osun",B24="Oyo"),"South West"
)</f>
        <v>North West</v>
      </c>
      <c r="H24">
        <f t="shared" si="0"/>
        <v>3900</v>
      </c>
    </row>
    <row r="25" spans="1:8" ht="15" thickBot="1" x14ac:dyDescent="0.4">
      <c r="A25" s="3">
        <v>2022</v>
      </c>
      <c r="B25" s="3" t="s">
        <v>17</v>
      </c>
      <c r="C25" s="3">
        <v>300</v>
      </c>
      <c r="D25" s="3">
        <v>300</v>
      </c>
      <c r="E25" s="4">
        <v>300</v>
      </c>
      <c r="F25" s="4"/>
      <c r="G25" t="str" cm="1">
        <f t="array" ref="G25">_xlfn.IFS(
    OR(B25="Benue",B25="Kogi",B25="Kwara",B25="Nasarawa",B25="Niger",B25="Plateau",B25="FCT"),"North Central",
    OR(B25="Adamawa",B25="Bauchi",B25="Borno",B25="Gombe",B25="Taraba",B25="Yobe"),"North East",
    OR(B25="Kaduna",B25="Kano",B25="Katsina",B25="Kebbi",B25="Sokoto",B25="Zamfara","Jigawa"),"North West",
    OR(B25="Abia",B25="Anambra",B25="Ebonyi",B25="Enugu",B25="Imo"),"South East",
    OR(B25="Akwa Ibom",B25="Bayelsa",B25="Cross River",B25="Delta",B25="Edo",B25="Rivers"),"South South",
    OR(B25="Ekiti",B25="Lagos",B25="Ogun",B25="Ondo",B25="Osun",B25="Oyo"),"South West"
)</f>
        <v>North Central</v>
      </c>
      <c r="H25">
        <f t="shared" si="0"/>
        <v>300</v>
      </c>
    </row>
    <row r="26" spans="1:8" ht="15" thickBot="1" x14ac:dyDescent="0.4">
      <c r="A26" s="3">
        <v>2022</v>
      </c>
      <c r="B26" s="3" t="s">
        <v>7</v>
      </c>
      <c r="C26" s="3">
        <v>3200</v>
      </c>
      <c r="D26" s="3">
        <v>3200</v>
      </c>
      <c r="E26" s="4">
        <v>3200</v>
      </c>
      <c r="F26" s="4"/>
      <c r="G26" t="str" cm="1">
        <f t="array" ref="G26">_xlfn.IFS(
    OR(B26="Benue",B26="Kogi",B26="Kwara",B26="Nasarawa",B26="Niger",B26="Plateau",B26="FCT"),"North Central",
    OR(B26="Adamawa",B26="Bauchi",B26="Borno",B26="Gombe",B26="Taraba",B26="Yobe"),"North East",
    OR(B26="Kaduna",B26="Kano",B26="Katsina",B26="Kebbi",B26="Sokoto",B26="Zamfara","Jigawa"),"North West",
    OR(B26="Abia",B26="Anambra",B26="Ebonyi",B26="Enugu",B26="Imo"),"South East",
    OR(B26="Akwa Ibom",B26="Bayelsa",B26="Cross River",B26="Delta",B26="Edo",B26="Rivers"),"South South",
    OR(B26="Ekiti",B26="Lagos",B26="Ogun",B26="Ondo",B26="Osun",B26="Oyo"),"South West"
)</f>
        <v>South South</v>
      </c>
      <c r="H26">
        <f t="shared" si="0"/>
        <v>3200</v>
      </c>
    </row>
    <row r="27" spans="1:8" ht="15" thickBot="1" x14ac:dyDescent="0.4">
      <c r="A27" s="3">
        <v>2022</v>
      </c>
      <c r="B27" s="3" t="s">
        <v>18</v>
      </c>
      <c r="C27" s="3">
        <v>700</v>
      </c>
      <c r="D27" s="3">
        <v>700</v>
      </c>
      <c r="E27" s="4">
        <v>500</v>
      </c>
      <c r="F27" s="4">
        <v>200</v>
      </c>
      <c r="G27" t="str" cm="1">
        <f t="array" ref="G27">_xlfn.IFS(
    OR(B27="Benue",B27="Kogi",B27="Kwara",B27="Nasarawa",B27="Niger",B27="Plateau",B27="FCT"),"North Central",
    OR(B27="Adamawa",B27="Bauchi",B27="Borno",B27="Gombe",B27="Taraba",B27="Yobe"),"North East",
    OR(B27="Kaduna",B27="Kano",B27="Katsina",B27="Kebbi",B27="Sokoto",B27="Zamfara","Jigawa"),"North West",
    OR(B27="Abia",B27="Anambra",B27="Ebonyi",B27="Enugu",B27="Imo"),"South East",
    OR(B27="Akwa Ibom",B27="Bayelsa",B27="Cross River",B27="Delta",B27="Edo",B27="Rivers"),"South South",
    OR(B27="Ekiti",B27="Lagos",B27="Ogun",B27="Ondo",B27="Osun",B27="Oyo"),"South West"
)</f>
        <v>North West</v>
      </c>
      <c r="H27">
        <f t="shared" si="0"/>
        <v>700</v>
      </c>
    </row>
    <row r="28" spans="1:8" ht="15" thickBot="1" x14ac:dyDescent="0.4">
      <c r="A28" s="3">
        <v>2022</v>
      </c>
      <c r="B28" s="3" t="s">
        <v>7</v>
      </c>
      <c r="C28" s="3">
        <v>2850</v>
      </c>
      <c r="D28" s="3">
        <v>2850</v>
      </c>
      <c r="E28" s="4">
        <v>2000</v>
      </c>
      <c r="F28" s="4">
        <v>850</v>
      </c>
      <c r="G28" t="str" cm="1">
        <f t="array" ref="G28">_xlfn.IFS(
    OR(B28="Benue",B28="Kogi",B28="Kwara",B28="Nasarawa",B28="Niger",B28="Plateau",B28="FCT"),"North Central",
    OR(B28="Adamawa",B28="Bauchi",B28="Borno",B28="Gombe",B28="Taraba",B28="Yobe"),"North East",
    OR(B28="Kaduna",B28="Kano",B28="Katsina",B28="Kebbi",B28="Sokoto",B28="Zamfara","Jigawa"),"North West",
    OR(B28="Abia",B28="Anambra",B28="Ebonyi",B28="Enugu",B28="Imo"),"South East",
    OR(B28="Akwa Ibom",B28="Bayelsa",B28="Cross River",B28="Delta",B28="Edo",B28="Rivers"),"South South",
    OR(B28="Ekiti",B28="Lagos",B28="Ogun",B28="Ondo",B28="Osun",B28="Oyo"),"South West"
)</f>
        <v>South South</v>
      </c>
      <c r="H28">
        <f t="shared" si="0"/>
        <v>2850</v>
      </c>
    </row>
    <row r="29" spans="1:8" ht="15" thickBot="1" x14ac:dyDescent="0.4">
      <c r="A29" s="3">
        <v>2022</v>
      </c>
      <c r="B29" s="3" t="s">
        <v>7</v>
      </c>
      <c r="C29" s="3">
        <v>1350</v>
      </c>
      <c r="D29" s="3">
        <v>1350</v>
      </c>
      <c r="E29" s="4">
        <v>1350</v>
      </c>
      <c r="F29" s="4"/>
      <c r="G29" t="str" cm="1">
        <f t="array" ref="G29">_xlfn.IFS(
    OR(B29="Benue",B29="Kogi",B29="Kwara",B29="Nasarawa",B29="Niger",B29="Plateau",B29="FCT"),"North Central",
    OR(B29="Adamawa",B29="Bauchi",B29="Borno",B29="Gombe",B29="Taraba",B29="Yobe"),"North East",
    OR(B29="Kaduna",B29="Kano",B29="Katsina",B29="Kebbi",B29="Sokoto",B29="Zamfara","Jigawa"),"North West",
    OR(B29="Abia",B29="Anambra",B29="Ebonyi",B29="Enugu",B29="Imo"),"South East",
    OR(B29="Akwa Ibom",B29="Bayelsa",B29="Cross River",B29="Delta",B29="Edo",B29="Rivers"),"South South",
    OR(B29="Ekiti",B29="Lagos",B29="Ogun",B29="Ondo",B29="Osun",B29="Oyo"),"South West"
)</f>
        <v>South South</v>
      </c>
      <c r="H29">
        <f t="shared" si="0"/>
        <v>1350</v>
      </c>
    </row>
    <row r="30" spans="1:8" ht="15" thickBot="1" x14ac:dyDescent="0.4">
      <c r="A30" s="3">
        <v>2022</v>
      </c>
      <c r="B30" s="3" t="s">
        <v>7</v>
      </c>
      <c r="C30" s="3">
        <v>5500</v>
      </c>
      <c r="D30" s="3">
        <v>5500</v>
      </c>
      <c r="E30" s="4">
        <v>5497</v>
      </c>
      <c r="F30" s="4">
        <v>3</v>
      </c>
      <c r="G30" t="str" cm="1">
        <f t="array" ref="G30">_xlfn.IFS(
    OR(B30="Benue",B30="Kogi",B30="Kwara",B30="Nasarawa",B30="Niger",B30="Plateau",B30="FCT"),"North Central",
    OR(B30="Adamawa",B30="Bauchi",B30="Borno",B30="Gombe",B30="Taraba",B30="Yobe"),"North East",
    OR(B30="Kaduna",B30="Kano",B30="Katsina",B30="Kebbi",B30="Sokoto",B30="Zamfara","Jigawa"),"North West",
    OR(B30="Abia",B30="Anambra",B30="Ebonyi",B30="Enugu",B30="Imo"),"South East",
    OR(B30="Akwa Ibom",B30="Bayelsa",B30="Cross River",B30="Delta",B30="Edo",B30="Rivers"),"South South",
    OR(B30="Ekiti",B30="Lagos",B30="Ogun",B30="Ondo",B30="Osun",B30="Oyo"),"South West"
)</f>
        <v>South South</v>
      </c>
      <c r="H30">
        <f t="shared" si="0"/>
        <v>5500</v>
      </c>
    </row>
    <row r="31" spans="1:8" ht="15" thickBot="1" x14ac:dyDescent="0.4">
      <c r="A31" s="3">
        <v>2022</v>
      </c>
      <c r="B31" s="3" t="s">
        <v>7</v>
      </c>
      <c r="C31" s="3">
        <v>1200</v>
      </c>
      <c r="D31" s="3">
        <v>1200</v>
      </c>
      <c r="E31" s="4">
        <v>1150</v>
      </c>
      <c r="F31" s="4">
        <v>50</v>
      </c>
      <c r="G31" t="str" cm="1">
        <f t="array" ref="G31">_xlfn.IFS(
    OR(B31="Benue",B31="Kogi",B31="Kwara",B31="Nasarawa",B31="Niger",B31="Plateau",B31="FCT"),"North Central",
    OR(B31="Adamawa",B31="Bauchi",B31="Borno",B31="Gombe",B31="Taraba",B31="Yobe"),"North East",
    OR(B31="Kaduna",B31="Kano",B31="Katsina",B31="Kebbi",B31="Sokoto",B31="Zamfara","Jigawa"),"North West",
    OR(B31="Abia",B31="Anambra",B31="Ebonyi",B31="Enugu",B31="Imo"),"South East",
    OR(B31="Akwa Ibom",B31="Bayelsa",B31="Cross River",B31="Delta",B31="Edo",B31="Rivers"),"South South",
    OR(B31="Ekiti",B31="Lagos",B31="Ogun",B31="Ondo",B31="Osun",B31="Oyo"),"South West"
)</f>
        <v>South South</v>
      </c>
      <c r="H31">
        <f t="shared" si="0"/>
        <v>1200</v>
      </c>
    </row>
    <row r="32" spans="1:8" ht="15" thickBot="1" x14ac:dyDescent="0.4">
      <c r="A32" s="3">
        <v>2022</v>
      </c>
      <c r="B32" s="3" t="s">
        <v>7</v>
      </c>
      <c r="C32" s="3">
        <v>3700</v>
      </c>
      <c r="D32" s="3">
        <v>3700</v>
      </c>
      <c r="E32" s="4">
        <v>915</v>
      </c>
      <c r="F32" s="4">
        <v>2785</v>
      </c>
      <c r="G32" t="str" cm="1">
        <f t="array" ref="G32">_xlfn.IFS(
    OR(B32="Benue",B32="Kogi",B32="Kwara",B32="Nasarawa",B32="Niger",B32="Plateau",B32="FCT"),"North Central",
    OR(B32="Adamawa",B32="Bauchi",B32="Borno",B32="Gombe",B32="Taraba",B32="Yobe"),"North East",
    OR(B32="Kaduna",B32="Kano",B32="Katsina",B32="Kebbi",B32="Sokoto",B32="Zamfara","Jigawa"),"North West",
    OR(B32="Abia",B32="Anambra",B32="Ebonyi",B32="Enugu",B32="Imo"),"South East",
    OR(B32="Akwa Ibom",B32="Bayelsa",B32="Cross River",B32="Delta",B32="Edo",B32="Rivers"),"South South",
    OR(B32="Ekiti",B32="Lagos",B32="Ogun",B32="Ondo",B32="Osun",B32="Oyo"),"South West"
)</f>
        <v>South South</v>
      </c>
      <c r="H32">
        <f t="shared" si="0"/>
        <v>3700</v>
      </c>
    </row>
    <row r="33" spans="1:8" ht="15" thickBot="1" x14ac:dyDescent="0.4">
      <c r="A33" s="3">
        <v>2022</v>
      </c>
      <c r="B33" s="3" t="s">
        <v>19</v>
      </c>
      <c r="C33" s="3">
        <v>1500</v>
      </c>
      <c r="D33" s="3">
        <v>1500</v>
      </c>
      <c r="E33" s="4">
        <v>500</v>
      </c>
      <c r="F33" s="4">
        <v>1000</v>
      </c>
      <c r="G33" t="str" cm="1">
        <f t="array" ref="G33">_xlfn.IFS(
    OR(B33="Benue",B33="Kogi",B33="Kwara",B33="Nasarawa",B33="Niger",B33="Plateau",B33="FCT"),"North Central",
    OR(B33="Adamawa",B33="Bauchi",B33="Borno",B33="Gombe",B33="Taraba",B33="Yobe"),"North East",
    OR(B33="Kaduna",B33="Kano",B33="Katsina",B33="Kebbi",B33="Sokoto",B33="Zamfara","Jigawa"),"North West",
    OR(B33="Abia",B33="Anambra",B33="Ebonyi",B33="Enugu",B33="Imo"),"South East",
    OR(B33="Akwa Ibom",B33="Bayelsa",B33="Cross River",B33="Delta",B33="Edo",B33="Rivers"),"South South",
    OR(B33="Ekiti",B33="Lagos",B33="Ogun",B33="Ondo",B33="Osun",B33="Oyo"),"South West"
)</f>
        <v>South South</v>
      </c>
      <c r="H33">
        <f t="shared" si="0"/>
        <v>1500</v>
      </c>
    </row>
    <row r="34" spans="1:8" ht="15" thickBot="1" x14ac:dyDescent="0.4">
      <c r="A34" s="3">
        <v>2022</v>
      </c>
      <c r="B34" s="3" t="s">
        <v>20</v>
      </c>
      <c r="C34" s="3">
        <v>2000</v>
      </c>
      <c r="D34" s="3">
        <v>2000</v>
      </c>
      <c r="E34" s="4">
        <v>500</v>
      </c>
      <c r="F34" s="4">
        <v>1500</v>
      </c>
      <c r="G34" t="str" cm="1">
        <f t="array" ref="G34">_xlfn.IFS(
    OR(B34="Benue",B34="Kogi",B34="Kwara",B34="Nasarawa",B34="Niger",B34="Plateau",B34="FCT"),"North Central",
    OR(B34="Adamawa",B34="Bauchi",B34="Borno",B34="Gombe",B34="Taraba",B34="Yobe"),"North East",
    OR(B34="Kaduna",B34="Kano",B34="Katsina",B34="Kebbi",B34="Sokoto",B34="Zamfara","Jigawa"),"North West",
    OR(B34="Abia",B34="Anambra",B34="Ebonyi",B34="Enugu",B34="Imo"),"South East",
    OR(B34="Akwa Ibom",B34="Bayelsa",B34="Cross River",B34="Delta",B34="Edo",B34="Rivers"),"South South",
    OR(B34="Ekiti",B34="Lagos",B34="Ogun",B34="Ondo",B34="Osun",B34="Oyo"),"South West"
)</f>
        <v>South West</v>
      </c>
      <c r="H34">
        <f t="shared" si="0"/>
        <v>2000</v>
      </c>
    </row>
    <row r="35" spans="1:8" ht="15" thickBot="1" x14ac:dyDescent="0.4">
      <c r="A35" s="3">
        <v>2022</v>
      </c>
      <c r="B35" s="3" t="s">
        <v>21</v>
      </c>
      <c r="C35" s="3">
        <v>350</v>
      </c>
      <c r="D35" s="3">
        <v>350</v>
      </c>
      <c r="E35" s="4">
        <v>245</v>
      </c>
      <c r="F35" s="4">
        <v>105</v>
      </c>
      <c r="G35" t="str" cm="1">
        <f t="array" ref="G35">_xlfn.IFS(
    OR(B35="Benue",B35="Kogi",B35="Kwara",B35="Nasarawa",B35="Niger",B35="Plateau",B35="FCT"),"North Central",
    OR(B35="Adamawa",B35="Bauchi",B35="Borno",B35="Gombe",B35="Taraba",B35="Yobe"),"North East",
    OR(B35="Kaduna",B35="Kano",B35="Katsina",B35="Kebbi",B35="Sokoto",B35="Zamfara","Jigawa"),"North West",
    OR(B35="Abia",B35="Anambra",B35="Ebonyi",B35="Enugu",B35="Imo"),"South East",
    OR(B35="Akwa Ibom",B35="Bayelsa",B35="Cross River",B35="Delta",B35="Edo",B35="Rivers"),"South South",
    OR(B35="Ekiti",B35="Lagos",B35="Ogun",B35="Ondo",B35="Osun",B35="Oyo"),"South West"
)</f>
        <v>South West</v>
      </c>
      <c r="H35">
        <f t="shared" si="0"/>
        <v>350</v>
      </c>
    </row>
    <row r="36" spans="1:8" ht="15" thickBot="1" x14ac:dyDescent="0.4">
      <c r="A36" s="3">
        <v>2022</v>
      </c>
      <c r="B36" s="3" t="s">
        <v>7</v>
      </c>
      <c r="C36" s="3">
        <v>3500</v>
      </c>
      <c r="D36" s="3">
        <v>3500</v>
      </c>
      <c r="E36" s="4">
        <v>3500</v>
      </c>
      <c r="F36" s="4"/>
      <c r="G36" t="str" cm="1">
        <f t="array" ref="G36">_xlfn.IFS(
    OR(B36="Benue",B36="Kogi",B36="Kwara",B36="Nasarawa",B36="Niger",B36="Plateau",B36="FCT"),"North Central",
    OR(B36="Adamawa",B36="Bauchi",B36="Borno",B36="Gombe",B36="Taraba",B36="Yobe"),"North East",
    OR(B36="Kaduna",B36="Kano",B36="Katsina",B36="Kebbi",B36="Sokoto",B36="Zamfara","Jigawa"),"North West",
    OR(B36="Abia",B36="Anambra",B36="Ebonyi",B36="Enugu",B36="Imo"),"South East",
    OR(B36="Akwa Ibom",B36="Bayelsa",B36="Cross River",B36="Delta",B36="Edo",B36="Rivers"),"South South",
    OR(B36="Ekiti",B36="Lagos",B36="Ogun",B36="Ondo",B36="Osun",B36="Oyo"),"South West"
)</f>
        <v>South South</v>
      </c>
      <c r="H36">
        <f t="shared" si="0"/>
        <v>3500</v>
      </c>
    </row>
    <row r="37" spans="1:8" ht="15" thickBot="1" x14ac:dyDescent="0.4">
      <c r="A37" s="3">
        <v>2022</v>
      </c>
      <c r="B37" s="3" t="s">
        <v>7</v>
      </c>
      <c r="C37" s="3">
        <v>3920</v>
      </c>
      <c r="D37" s="3">
        <v>3920</v>
      </c>
      <c r="E37" s="4">
        <v>3920</v>
      </c>
      <c r="F37" s="4"/>
      <c r="G37" t="str" cm="1">
        <f t="array" ref="G37">_xlfn.IFS(
    OR(B37="Benue",B37="Kogi",B37="Kwara",B37="Nasarawa",B37="Niger",B37="Plateau",B37="FCT"),"North Central",
    OR(B37="Adamawa",B37="Bauchi",B37="Borno",B37="Gombe",B37="Taraba",B37="Yobe"),"North East",
    OR(B37="Kaduna",B37="Kano",B37="Katsina",B37="Kebbi",B37="Sokoto",B37="Zamfara","Jigawa"),"North West",
    OR(B37="Abia",B37="Anambra",B37="Ebonyi",B37="Enugu",B37="Imo"),"South East",
    OR(B37="Akwa Ibom",B37="Bayelsa",B37="Cross River",B37="Delta",B37="Edo",B37="Rivers"),"South South",
    OR(B37="Ekiti",B37="Lagos",B37="Ogun",B37="Ondo",B37="Osun",B37="Oyo"),"South West"
)</f>
        <v>South South</v>
      </c>
      <c r="H37">
        <f t="shared" si="0"/>
        <v>3920</v>
      </c>
    </row>
    <row r="38" spans="1:8" ht="15" thickBot="1" x14ac:dyDescent="0.4">
      <c r="A38" s="3">
        <v>2022</v>
      </c>
      <c r="B38" s="3" t="s">
        <v>7</v>
      </c>
      <c r="C38" s="3">
        <v>3400</v>
      </c>
      <c r="D38" s="3">
        <v>3400</v>
      </c>
      <c r="E38" s="4">
        <v>3400</v>
      </c>
      <c r="F38" s="4"/>
      <c r="G38" t="str" cm="1">
        <f t="array" ref="G38">_xlfn.IFS(
    OR(B38="Benue",B38="Kogi",B38="Kwara",B38="Nasarawa",B38="Niger",B38="Plateau",B38="FCT"),"North Central",
    OR(B38="Adamawa",B38="Bauchi",B38="Borno",B38="Gombe",B38="Taraba",B38="Yobe"),"North East",
    OR(B38="Kaduna",B38="Kano",B38="Katsina",B38="Kebbi",B38="Sokoto",B38="Zamfara","Jigawa"),"North West",
    OR(B38="Abia",B38="Anambra",B38="Ebonyi",B38="Enugu",B38="Imo"),"South East",
    OR(B38="Akwa Ibom",B38="Bayelsa",B38="Cross River",B38="Delta",B38="Edo",B38="Rivers"),"South South",
    OR(B38="Ekiti",B38="Lagos",B38="Ogun",B38="Ondo",B38="Osun",B38="Oyo"),"South West"
)</f>
        <v>South South</v>
      </c>
      <c r="H38">
        <f t="shared" si="0"/>
        <v>3400</v>
      </c>
    </row>
    <row r="39" spans="1:8" ht="15" thickBot="1" x14ac:dyDescent="0.4">
      <c r="A39" s="3">
        <v>2022</v>
      </c>
      <c r="B39" s="3" t="s">
        <v>7</v>
      </c>
      <c r="C39" s="3">
        <v>1000</v>
      </c>
      <c r="D39" s="3">
        <v>1000</v>
      </c>
      <c r="E39" s="4">
        <v>1000</v>
      </c>
      <c r="F39" s="4"/>
      <c r="G39" t="str" cm="1">
        <f t="array" ref="G39">_xlfn.IFS(
    OR(B39="Benue",B39="Kogi",B39="Kwara",B39="Nasarawa",B39="Niger",B39="Plateau",B39="FCT"),"North Central",
    OR(B39="Adamawa",B39="Bauchi",B39="Borno",B39="Gombe",B39="Taraba",B39="Yobe"),"North East",
    OR(B39="Kaduna",B39="Kano",B39="Katsina",B39="Kebbi",B39="Sokoto",B39="Zamfara","Jigawa"),"North West",
    OR(B39="Abia",B39="Anambra",B39="Ebonyi",B39="Enugu",B39="Imo"),"South East",
    OR(B39="Akwa Ibom",B39="Bayelsa",B39="Cross River",B39="Delta",B39="Edo",B39="Rivers"),"South South",
    OR(B39="Ekiti",B39="Lagos",B39="Ogun",B39="Ondo",B39="Osun",B39="Oyo"),"South West"
)</f>
        <v>South South</v>
      </c>
      <c r="H39">
        <f t="shared" si="0"/>
        <v>1000</v>
      </c>
    </row>
    <row r="40" spans="1:8" ht="15" thickBot="1" x14ac:dyDescent="0.4">
      <c r="A40" s="3">
        <v>2022</v>
      </c>
      <c r="B40" s="3" t="s">
        <v>7</v>
      </c>
      <c r="C40" s="3">
        <v>3000</v>
      </c>
      <c r="D40" s="3">
        <v>3000</v>
      </c>
      <c r="E40" s="4">
        <v>3000</v>
      </c>
      <c r="F40" s="4"/>
      <c r="G40" t="str" cm="1">
        <f t="array" ref="G40">_xlfn.IFS(
    OR(B40="Benue",B40="Kogi",B40="Kwara",B40="Nasarawa",B40="Niger",B40="Plateau",B40="FCT"),"North Central",
    OR(B40="Adamawa",B40="Bauchi",B40="Borno",B40="Gombe",B40="Taraba",B40="Yobe"),"North East",
    OR(B40="Kaduna",B40="Kano",B40="Katsina",B40="Kebbi",B40="Sokoto",B40="Zamfara","Jigawa"),"North West",
    OR(B40="Abia",B40="Anambra",B40="Ebonyi",B40="Enugu",B40="Imo"),"South East",
    OR(B40="Akwa Ibom",B40="Bayelsa",B40="Cross River",B40="Delta",B40="Edo",B40="Rivers"),"South South",
    OR(B40="Ekiti",B40="Lagos",B40="Ogun",B40="Ondo",B40="Osun",B40="Oyo"),"South West"
)</f>
        <v>South South</v>
      </c>
      <c r="H40">
        <f t="shared" si="0"/>
        <v>3000</v>
      </c>
    </row>
    <row r="41" spans="1:8" ht="15" thickBot="1" x14ac:dyDescent="0.4">
      <c r="A41" s="3">
        <v>2022</v>
      </c>
      <c r="B41" s="3" t="s">
        <v>7</v>
      </c>
      <c r="C41" s="3">
        <v>2500</v>
      </c>
      <c r="D41" s="3">
        <v>2500</v>
      </c>
      <c r="E41" s="4">
        <v>2500</v>
      </c>
      <c r="F41" s="4"/>
      <c r="G41" t="str" cm="1">
        <f t="array" ref="G41">_xlfn.IFS(
    OR(B41="Benue",B41="Kogi",B41="Kwara",B41="Nasarawa",B41="Niger",B41="Plateau",B41="FCT"),"North Central",
    OR(B41="Adamawa",B41="Bauchi",B41="Borno",B41="Gombe",B41="Taraba",B41="Yobe"),"North East",
    OR(B41="Kaduna",B41="Kano",B41="Katsina",B41="Kebbi",B41="Sokoto",B41="Zamfara","Jigawa"),"North West",
    OR(B41="Abia",B41="Anambra",B41="Ebonyi",B41="Enugu",B41="Imo"),"South East",
    OR(B41="Akwa Ibom",B41="Bayelsa",B41="Cross River",B41="Delta",B41="Edo",B41="Rivers"),"South South",
    OR(B41="Ekiti",B41="Lagos",B41="Ogun",B41="Ondo",B41="Osun",B41="Oyo"),"South West"
)</f>
        <v>South South</v>
      </c>
      <c r="H41">
        <f t="shared" si="0"/>
        <v>2500</v>
      </c>
    </row>
    <row r="42" spans="1:8" ht="15" thickBot="1" x14ac:dyDescent="0.4">
      <c r="A42" s="3">
        <v>2021</v>
      </c>
      <c r="B42" s="3" t="s">
        <v>19</v>
      </c>
      <c r="C42" s="3">
        <v>2200</v>
      </c>
      <c r="D42" s="3">
        <v>2200</v>
      </c>
      <c r="E42" s="4">
        <v>850</v>
      </c>
      <c r="F42" s="4">
        <v>1350</v>
      </c>
      <c r="G42" t="str" cm="1">
        <f t="array" ref="G42">_xlfn.IFS(
    OR(B42="Benue",B42="Kogi",B42="Kwara",B42="Nasarawa",B42="Niger",B42="Plateau",B42="FCT"),"North Central",
    OR(B42="Adamawa",B42="Bauchi",B42="Borno",B42="Gombe",B42="Taraba",B42="Yobe"),"North East",
    OR(B42="Kaduna",B42="Kano",B42="Katsina",B42="Kebbi",B42="Sokoto",B42="Zamfara","Jigawa"),"North West",
    OR(B42="Abia",B42="Anambra",B42="Ebonyi",B42="Enugu",B42="Imo"),"South East",
    OR(B42="Akwa Ibom",B42="Bayelsa",B42="Cross River",B42="Delta",B42="Edo",B42="Rivers"),"South South",
    OR(B42="Ekiti",B42="Lagos",B42="Ogun",B42="Ondo",B42="Osun",B42="Oyo"),"South West"
)</f>
        <v>South South</v>
      </c>
      <c r="H42">
        <f t="shared" si="0"/>
        <v>2200</v>
      </c>
    </row>
    <row r="43" spans="1:8" ht="15" thickBot="1" x14ac:dyDescent="0.4">
      <c r="A43" s="3">
        <v>2022</v>
      </c>
      <c r="B43" s="3" t="s">
        <v>11</v>
      </c>
      <c r="C43" s="3">
        <v>2670</v>
      </c>
      <c r="D43" s="3">
        <v>2670</v>
      </c>
      <c r="E43" s="4">
        <v>5</v>
      </c>
      <c r="F43" s="4">
        <v>2665</v>
      </c>
      <c r="G43" t="str" cm="1">
        <f t="array" ref="G43">_xlfn.IFS(
    OR(B43="Benue",B43="Kogi",B43="Kwara",B43="Nasarawa",B43="Niger",B43="Plateau",B43="FCT"),"North Central",
    OR(B43="Adamawa",B43="Bauchi",B43="Borno",B43="Gombe",B43="Taraba",B43="Yobe"),"North East",
    OR(B43="Kaduna",B43="Kano",B43="Katsina",B43="Kebbi",B43="Sokoto",B43="Zamfara","Jigawa"),"North West",
    OR(B43="Abia",B43="Anambra",B43="Ebonyi",B43="Enugu",B43="Imo"),"South East",
    OR(B43="Akwa Ibom",B43="Bayelsa",B43="Cross River",B43="Delta",B43="Edo",B43="Rivers"),"South South",
    OR(B43="Ekiti",B43="Lagos",B43="Ogun",B43="Ondo",B43="Osun",B43="Oyo"),"South West"
)</f>
        <v>South West</v>
      </c>
      <c r="H43">
        <f t="shared" si="0"/>
        <v>2670</v>
      </c>
    </row>
    <row r="44" spans="1:8" ht="15" thickBot="1" x14ac:dyDescent="0.4">
      <c r="A44" s="3">
        <v>2022</v>
      </c>
      <c r="B44" s="3" t="s">
        <v>11</v>
      </c>
      <c r="C44" s="3">
        <v>2795</v>
      </c>
      <c r="D44" s="3">
        <v>2795</v>
      </c>
      <c r="E44" s="4">
        <v>62</v>
      </c>
      <c r="F44" s="4">
        <v>2733</v>
      </c>
      <c r="G44" t="str" cm="1">
        <f t="array" ref="G44">_xlfn.IFS(
    OR(B44="Benue",B44="Kogi",B44="Kwara",B44="Nasarawa",B44="Niger",B44="Plateau",B44="FCT"),"North Central",
    OR(B44="Adamawa",B44="Bauchi",B44="Borno",B44="Gombe",B44="Taraba",B44="Yobe"),"North East",
    OR(B44="Kaduna",B44="Kano",B44="Katsina",B44="Kebbi",B44="Sokoto",B44="Zamfara","Jigawa"),"North West",
    OR(B44="Abia",B44="Anambra",B44="Ebonyi",B44="Enugu",B44="Imo"),"South East",
    OR(B44="Akwa Ibom",B44="Bayelsa",B44="Cross River",B44="Delta",B44="Edo",B44="Rivers"),"South South",
    OR(B44="Ekiti",B44="Lagos",B44="Ogun",B44="Ondo",B44="Osun",B44="Oyo"),"South West"
)</f>
        <v>South West</v>
      </c>
      <c r="H44">
        <f t="shared" si="0"/>
        <v>2795</v>
      </c>
    </row>
    <row r="45" spans="1:8" ht="15" thickBot="1" x14ac:dyDescent="0.4">
      <c r="A45" s="3">
        <v>2022</v>
      </c>
      <c r="B45" s="3" t="s">
        <v>11</v>
      </c>
      <c r="C45" s="3">
        <v>2500</v>
      </c>
      <c r="D45" s="3">
        <v>2500</v>
      </c>
      <c r="E45" s="4">
        <v>32</v>
      </c>
      <c r="F45" s="4">
        <v>2468</v>
      </c>
      <c r="G45" t="str" cm="1">
        <f t="array" ref="G45">_xlfn.IFS(
    OR(B45="Benue",B45="Kogi",B45="Kwara",B45="Nasarawa",B45="Niger",B45="Plateau",B45="FCT"),"North Central",
    OR(B45="Adamawa",B45="Bauchi",B45="Borno",B45="Gombe",B45="Taraba",B45="Yobe"),"North East",
    OR(B45="Kaduna",B45="Kano",B45="Katsina",B45="Kebbi",B45="Sokoto",B45="Zamfara","Jigawa"),"North West",
    OR(B45="Abia",B45="Anambra",B45="Ebonyi",B45="Enugu",B45="Imo"),"South East",
    OR(B45="Akwa Ibom",B45="Bayelsa",B45="Cross River",B45="Delta",B45="Edo",B45="Rivers"),"South South",
    OR(B45="Ekiti",B45="Lagos",B45="Ogun",B45="Ondo",B45="Osun",B45="Oyo"),"South West"
)</f>
        <v>South West</v>
      </c>
      <c r="H45">
        <f t="shared" si="0"/>
        <v>2500</v>
      </c>
    </row>
    <row r="46" spans="1:8" ht="15" thickBot="1" x14ac:dyDescent="0.4">
      <c r="A46" s="3">
        <v>2022</v>
      </c>
      <c r="B46" s="3" t="s">
        <v>11</v>
      </c>
      <c r="C46" s="3">
        <v>2500</v>
      </c>
      <c r="D46" s="3">
        <v>2500</v>
      </c>
      <c r="E46" s="4">
        <v>250</v>
      </c>
      <c r="F46" s="4">
        <v>2250</v>
      </c>
      <c r="G46" t="str" cm="1">
        <f t="array" ref="G46">_xlfn.IFS(
    OR(B46="Benue",B46="Kogi",B46="Kwara",B46="Nasarawa",B46="Niger",B46="Plateau",B46="FCT"),"North Central",
    OR(B46="Adamawa",B46="Bauchi",B46="Borno",B46="Gombe",B46="Taraba",B46="Yobe"),"North East",
    OR(B46="Kaduna",B46="Kano",B46="Katsina",B46="Kebbi",B46="Sokoto",B46="Zamfara","Jigawa"),"North West",
    OR(B46="Abia",B46="Anambra",B46="Ebonyi",B46="Enugu",B46="Imo"),"South East",
    OR(B46="Akwa Ibom",B46="Bayelsa",B46="Cross River",B46="Delta",B46="Edo",B46="Rivers"),"South South",
    OR(B46="Ekiti",B46="Lagos",B46="Ogun",B46="Ondo",B46="Osun",B46="Oyo"),"South West"
)</f>
        <v>South West</v>
      </c>
      <c r="H46">
        <f t="shared" si="0"/>
        <v>2500</v>
      </c>
    </row>
    <row r="47" spans="1:8" ht="15" thickBot="1" x14ac:dyDescent="0.4">
      <c r="A47" s="3">
        <v>2022</v>
      </c>
      <c r="B47" s="3" t="s">
        <v>11</v>
      </c>
      <c r="C47" s="3">
        <v>2330</v>
      </c>
      <c r="D47" s="3">
        <v>2330</v>
      </c>
      <c r="E47" s="4">
        <v>58</v>
      </c>
      <c r="F47" s="4">
        <v>2272</v>
      </c>
      <c r="G47" t="str" cm="1">
        <f t="array" ref="G47">_xlfn.IFS(
    OR(B47="Benue",B47="Kogi",B47="Kwara",B47="Nasarawa",B47="Niger",B47="Plateau",B47="FCT"),"North Central",
    OR(B47="Adamawa",B47="Bauchi",B47="Borno",B47="Gombe",B47="Taraba",B47="Yobe"),"North East",
    OR(B47="Kaduna",B47="Kano",B47="Katsina",B47="Kebbi",B47="Sokoto",B47="Zamfara","Jigawa"),"North West",
    OR(B47="Abia",B47="Anambra",B47="Ebonyi",B47="Enugu",B47="Imo"),"South East",
    OR(B47="Akwa Ibom",B47="Bayelsa",B47="Cross River",B47="Delta",B47="Edo",B47="Rivers"),"South South",
    OR(B47="Ekiti",B47="Lagos",B47="Ogun",B47="Ondo",B47="Osun",B47="Oyo"),"South West"
)</f>
        <v>South West</v>
      </c>
      <c r="H47">
        <f t="shared" si="0"/>
        <v>2330</v>
      </c>
    </row>
    <row r="48" spans="1:8" ht="15" thickBot="1" x14ac:dyDescent="0.4">
      <c r="A48" s="3">
        <v>2022</v>
      </c>
      <c r="B48" s="3" t="s">
        <v>11</v>
      </c>
      <c r="C48" s="3">
        <v>2960</v>
      </c>
      <c r="D48" s="3">
        <v>2960</v>
      </c>
      <c r="E48" s="4">
        <v>100</v>
      </c>
      <c r="F48" s="4">
        <v>2860</v>
      </c>
      <c r="G48" t="str" cm="1">
        <f t="array" ref="G48">_xlfn.IFS(
    OR(B48="Benue",B48="Kogi",B48="Kwara",B48="Nasarawa",B48="Niger",B48="Plateau",B48="FCT"),"North Central",
    OR(B48="Adamawa",B48="Bauchi",B48="Borno",B48="Gombe",B48="Taraba",B48="Yobe"),"North East",
    OR(B48="Kaduna",B48="Kano",B48="Katsina",B48="Kebbi",B48="Sokoto",B48="Zamfara","Jigawa"),"North West",
    OR(B48="Abia",B48="Anambra",B48="Ebonyi",B48="Enugu",B48="Imo"),"South East",
    OR(B48="Akwa Ibom",B48="Bayelsa",B48="Cross River",B48="Delta",B48="Edo",B48="Rivers"),"South South",
    OR(B48="Ekiti",B48="Lagos",B48="Ogun",B48="Ondo",B48="Osun",B48="Oyo"),"South West"
)</f>
        <v>South West</v>
      </c>
      <c r="H48">
        <f t="shared" si="0"/>
        <v>2960</v>
      </c>
    </row>
    <row r="49" spans="1:8" ht="15" thickBot="1" x14ac:dyDescent="0.4">
      <c r="A49" s="3">
        <v>2021</v>
      </c>
      <c r="B49" s="3" t="s">
        <v>7</v>
      </c>
      <c r="C49" s="3">
        <v>28520</v>
      </c>
      <c r="D49" s="3">
        <v>28520</v>
      </c>
      <c r="E49" s="4">
        <v>25020</v>
      </c>
      <c r="F49" s="4">
        <v>3500</v>
      </c>
      <c r="G49" t="str" cm="1">
        <f t="array" ref="G49">_xlfn.IFS(
    OR(B49="Benue",B49="Kogi",B49="Kwara",B49="Nasarawa",B49="Niger",B49="Plateau",B49="FCT"),"North Central",
    OR(B49="Adamawa",B49="Bauchi",B49="Borno",B49="Gombe",B49="Taraba",B49="Yobe"),"North East",
    OR(B49="Kaduna",B49="Kano",B49="Katsina",B49="Kebbi",B49="Sokoto",B49="Zamfara","Jigawa"),"North West",
    OR(B49="Abia",B49="Anambra",B49="Ebonyi",B49="Enugu",B49="Imo"),"South East",
    OR(B49="Akwa Ibom",B49="Bayelsa",B49="Cross River",B49="Delta",B49="Edo",B49="Rivers"),"South South",
    OR(B49="Ekiti",B49="Lagos",B49="Ogun",B49="Ondo",B49="Osun",B49="Oyo"),"South West"
)</f>
        <v>South South</v>
      </c>
      <c r="H49">
        <f t="shared" si="0"/>
        <v>28520</v>
      </c>
    </row>
    <row r="50" spans="1:8" ht="15" thickBot="1" x14ac:dyDescent="0.4">
      <c r="A50" s="3">
        <v>2021</v>
      </c>
      <c r="B50" s="3" t="s">
        <v>7</v>
      </c>
      <c r="C50" s="3">
        <v>50000</v>
      </c>
      <c r="D50" s="3">
        <v>50000</v>
      </c>
      <c r="E50" s="4">
        <v>7000</v>
      </c>
      <c r="F50" s="4">
        <v>43000</v>
      </c>
      <c r="G50" t="str" cm="1">
        <f t="array" ref="G50">_xlfn.IFS(
    OR(B50="Benue",B50="Kogi",B50="Kwara",B50="Nasarawa",B50="Niger",B50="Plateau",B50="FCT"),"North Central",
    OR(B50="Adamawa",B50="Bauchi",B50="Borno",B50="Gombe",B50="Taraba",B50="Yobe"),"North East",
    OR(B50="Kaduna",B50="Kano",B50="Katsina",B50="Kebbi",B50="Sokoto",B50="Zamfara","Jigawa"),"North West",
    OR(B50="Abia",B50="Anambra",B50="Ebonyi",B50="Enugu",B50="Imo"),"South East",
    OR(B50="Akwa Ibom",B50="Bayelsa",B50="Cross River",B50="Delta",B50="Edo",B50="Rivers"),"South South",
    OR(B50="Ekiti",B50="Lagos",B50="Ogun",B50="Ondo",B50="Osun",B50="Oyo"),"South West"
)</f>
        <v>South South</v>
      </c>
      <c r="H50">
        <f t="shared" si="0"/>
        <v>50000</v>
      </c>
    </row>
    <row r="51" spans="1:8" ht="15" thickBot="1" x14ac:dyDescent="0.4">
      <c r="A51" s="3">
        <v>2021</v>
      </c>
      <c r="B51" s="3" t="s">
        <v>7</v>
      </c>
      <c r="C51" s="3">
        <v>3500</v>
      </c>
      <c r="D51" s="3">
        <v>3500</v>
      </c>
      <c r="E51" s="4">
        <v>2050</v>
      </c>
      <c r="F51" s="4">
        <v>1450</v>
      </c>
      <c r="G51" t="str" cm="1">
        <f t="array" ref="G51">_xlfn.IFS(
    OR(B51="Benue",B51="Kogi",B51="Kwara",B51="Nasarawa",B51="Niger",B51="Plateau",B51="FCT"),"North Central",
    OR(B51="Adamawa",B51="Bauchi",B51="Borno",B51="Gombe",B51="Taraba",B51="Yobe"),"North East",
    OR(B51="Kaduna",B51="Kano",B51="Katsina",B51="Kebbi",B51="Sokoto",B51="Zamfara","Jigawa"),"North West",
    OR(B51="Abia",B51="Anambra",B51="Ebonyi",B51="Enugu",B51="Imo"),"South East",
    OR(B51="Akwa Ibom",B51="Bayelsa",B51="Cross River",B51="Delta",B51="Edo",B51="Rivers"),"South South",
    OR(B51="Ekiti",B51="Lagos",B51="Ogun",B51="Ondo",B51="Osun",B51="Oyo"),"South West"
)</f>
        <v>South South</v>
      </c>
      <c r="H51">
        <f t="shared" si="0"/>
        <v>3500</v>
      </c>
    </row>
    <row r="52" spans="1:8" ht="15" thickBot="1" x14ac:dyDescent="0.4">
      <c r="A52" s="3">
        <v>2022</v>
      </c>
      <c r="B52" s="3" t="s">
        <v>6</v>
      </c>
      <c r="C52" s="3">
        <v>1100</v>
      </c>
      <c r="D52" s="3">
        <v>1100</v>
      </c>
      <c r="E52" s="4">
        <v>520</v>
      </c>
      <c r="F52" s="4">
        <v>580</v>
      </c>
      <c r="G52" t="str" cm="1">
        <f t="array" ref="G52">_xlfn.IFS(
    OR(B52="Benue",B52="Kogi",B52="Kwara",B52="Nasarawa",B52="Niger",B52="Plateau",B52="FCT"),"North Central",
    OR(B52="Adamawa",B52="Bauchi",B52="Borno",B52="Gombe",B52="Taraba",B52="Yobe"),"North East",
    OR(B52="Kaduna",B52="Kano",B52="Katsina",B52="Kebbi",B52="Sokoto",B52="Zamfara","Jigawa"),"North West",
    OR(B52="Abia",B52="Anambra",B52="Ebonyi",B52="Enugu",B52="Imo"),"South East",
    OR(B52="Akwa Ibom",B52="Bayelsa",B52="Cross River",B52="Delta",B52="Edo",B52="Rivers"),"South South",
    OR(B52="Ekiti",B52="Lagos",B52="Ogun",B52="Ondo",B52="Osun",B52="Oyo"),"South West"
)</f>
        <v>North West</v>
      </c>
      <c r="H52">
        <f t="shared" si="0"/>
        <v>1100</v>
      </c>
    </row>
    <row r="53" spans="1:8" ht="15" thickBot="1" x14ac:dyDescent="0.4">
      <c r="A53" s="3">
        <v>2022</v>
      </c>
      <c r="B53" s="3" t="s">
        <v>9</v>
      </c>
      <c r="C53" s="3">
        <v>30000</v>
      </c>
      <c r="D53" s="3">
        <v>30000</v>
      </c>
      <c r="E53" s="4">
        <v>12000</v>
      </c>
      <c r="F53" s="4">
        <v>18000</v>
      </c>
      <c r="G53" t="str" cm="1">
        <f t="array" ref="G53">_xlfn.IFS(
    OR(B53="Benue",B53="Kogi",B53="Kwara",B53="Nasarawa",B53="Niger",B53="Plateau",B53="FCT"),"North Central",
    OR(B53="Adamawa",B53="Bauchi",B53="Borno",B53="Gombe",B53="Taraba",B53="Yobe"),"North East",
    OR(B53="Kaduna",B53="Kano",B53="Katsina",B53="Kebbi",B53="Sokoto",B53="Zamfara","Jigawa"),"North West",
    OR(B53="Abia",B53="Anambra",B53="Ebonyi",B53="Enugu",B53="Imo"),"South East",
    OR(B53="Akwa Ibom",B53="Bayelsa",B53="Cross River",B53="Delta",B53="Edo",B53="Rivers"),"South South",
    OR(B53="Ekiti",B53="Lagos",B53="Ogun",B53="Ondo",B53="Osun",B53="Oyo"),"South West"
)</f>
        <v>North Central</v>
      </c>
      <c r="H53">
        <f t="shared" si="0"/>
        <v>30000</v>
      </c>
    </row>
    <row r="54" spans="1:8" ht="15" thickBot="1" x14ac:dyDescent="0.4">
      <c r="A54" s="3">
        <v>2022</v>
      </c>
      <c r="B54" s="3" t="s">
        <v>12</v>
      </c>
      <c r="C54" s="3">
        <v>1450</v>
      </c>
      <c r="D54" s="3">
        <v>1450</v>
      </c>
      <c r="E54" s="4">
        <v>825</v>
      </c>
      <c r="F54" s="4">
        <v>625</v>
      </c>
      <c r="G54" t="str" cm="1">
        <f t="array" ref="G54">_xlfn.IFS(
    OR(B54="Benue",B54="Kogi",B54="Kwara",B54="Nasarawa",B54="Niger",B54="Plateau",B54="FCT"),"North Central",
    OR(B54="Adamawa",B54="Bauchi",B54="Borno",B54="Gombe",B54="Taraba",B54="Yobe"),"North East",
    OR(B54="Kaduna",B54="Kano",B54="Katsina",B54="Kebbi",B54="Sokoto",B54="Zamfara","Jigawa"),"North West",
    OR(B54="Abia",B54="Anambra",B54="Ebonyi",B54="Enugu",B54="Imo"),"South East",
    OR(B54="Akwa Ibom",B54="Bayelsa",B54="Cross River",B54="Delta",B54="Edo",B54="Rivers"),"South South",
    OR(B54="Ekiti",B54="Lagos",B54="Ogun",B54="Ondo",B54="Osun",B54="Oyo"),"South West"
)</f>
        <v>South South</v>
      </c>
      <c r="H54">
        <f t="shared" si="0"/>
        <v>1450</v>
      </c>
    </row>
    <row r="55" spans="1:8" ht="15" thickBot="1" x14ac:dyDescent="0.4">
      <c r="A55" s="3">
        <v>2022</v>
      </c>
      <c r="B55" s="3" t="s">
        <v>7</v>
      </c>
      <c r="C55" s="3">
        <v>3200</v>
      </c>
      <c r="D55" s="3">
        <v>3200</v>
      </c>
      <c r="E55" s="4">
        <v>1100</v>
      </c>
      <c r="F55" s="4">
        <v>2100</v>
      </c>
      <c r="G55" t="str" cm="1">
        <f t="array" ref="G55">_xlfn.IFS(
    OR(B55="Benue",B55="Kogi",B55="Kwara",B55="Nasarawa",B55="Niger",B55="Plateau",B55="FCT"),"North Central",
    OR(B55="Adamawa",B55="Bauchi",B55="Borno",B55="Gombe",B55="Taraba",B55="Yobe"),"North East",
    OR(B55="Kaduna",B55="Kano",B55="Katsina",B55="Kebbi",B55="Sokoto",B55="Zamfara","Jigawa"),"North West",
    OR(B55="Abia",B55="Anambra",B55="Ebonyi",B55="Enugu",B55="Imo"),"South East",
    OR(B55="Akwa Ibom",B55="Bayelsa",B55="Cross River",B55="Delta",B55="Edo",B55="Rivers"),"South South",
    OR(B55="Ekiti",B55="Lagos",B55="Ogun",B55="Ondo",B55="Osun",B55="Oyo"),"South West"
)</f>
        <v>South South</v>
      </c>
      <c r="H55">
        <f t="shared" si="0"/>
        <v>3200</v>
      </c>
    </row>
    <row r="56" spans="1:8" ht="15" thickBot="1" x14ac:dyDescent="0.4">
      <c r="A56" s="3">
        <v>2022</v>
      </c>
      <c r="B56" s="3" t="s">
        <v>11</v>
      </c>
      <c r="C56" s="3">
        <v>2950</v>
      </c>
      <c r="D56" s="3">
        <v>2950</v>
      </c>
      <c r="E56" s="4">
        <v>88</v>
      </c>
      <c r="F56" s="4">
        <v>2862</v>
      </c>
      <c r="G56" t="str" cm="1">
        <f t="array" ref="G56">_xlfn.IFS(
    OR(B56="Benue",B56="Kogi",B56="Kwara",B56="Nasarawa",B56="Niger",B56="Plateau",B56="FCT"),"North Central",
    OR(B56="Adamawa",B56="Bauchi",B56="Borno",B56="Gombe",B56="Taraba",B56="Yobe"),"North East",
    OR(B56="Kaduna",B56="Kano",B56="Katsina",B56="Kebbi",B56="Sokoto",B56="Zamfara","Jigawa"),"North West",
    OR(B56="Abia",B56="Anambra",B56="Ebonyi",B56="Enugu",B56="Imo"),"South East",
    OR(B56="Akwa Ibom",B56="Bayelsa",B56="Cross River",B56="Delta",B56="Edo",B56="Rivers"),"South South",
    OR(B56="Ekiti",B56="Lagos",B56="Ogun",B56="Ondo",B56="Osun",B56="Oyo"),"South West"
)</f>
        <v>South West</v>
      </c>
      <c r="H56">
        <f t="shared" si="0"/>
        <v>2950</v>
      </c>
    </row>
    <row r="57" spans="1:8" ht="15" thickBot="1" x14ac:dyDescent="0.4">
      <c r="A57" s="3">
        <v>2022</v>
      </c>
      <c r="B57" s="3" t="s">
        <v>10</v>
      </c>
      <c r="C57" s="3">
        <v>850</v>
      </c>
      <c r="D57" s="3">
        <v>850</v>
      </c>
      <c r="E57" s="4">
        <v>850</v>
      </c>
      <c r="F57" s="4"/>
      <c r="G57" t="str" cm="1">
        <f t="array" ref="G57">_xlfn.IFS(
    OR(B57="Benue",B57="Kogi",B57="Kwara",B57="Nasarawa",B57="Niger",B57="Plateau",B57="FCT"),"North Central",
    OR(B57="Adamawa",B57="Bauchi",B57="Borno",B57="Gombe",B57="Taraba",B57="Yobe"),"North East",
    OR(B57="Kaduna",B57="Kano",B57="Katsina",B57="Kebbi",B57="Sokoto",B57="Zamfara","Jigawa"),"North West",
    OR(B57="Abia",B57="Anambra",B57="Ebonyi",B57="Enugu",B57="Imo"),"South East",
    OR(B57="Akwa Ibom",B57="Bayelsa",B57="Cross River",B57="Delta",B57="Edo",B57="Rivers"),"South South",
    OR(B57="Ekiti",B57="Lagos",B57="Ogun",B57="Ondo",B57="Osun",B57="Oyo"),"South West"
)</f>
        <v>South West</v>
      </c>
      <c r="H57">
        <f t="shared" si="0"/>
        <v>850</v>
      </c>
    </row>
    <row r="58" spans="1:8" ht="15" thickBot="1" x14ac:dyDescent="0.4">
      <c r="A58" s="3">
        <v>2022</v>
      </c>
      <c r="B58" s="3" t="s">
        <v>10</v>
      </c>
      <c r="C58" s="3">
        <v>2400</v>
      </c>
      <c r="D58" s="3">
        <v>2400</v>
      </c>
      <c r="E58" s="4">
        <v>1320</v>
      </c>
      <c r="F58" s="4">
        <v>1080</v>
      </c>
      <c r="G58" t="str" cm="1">
        <f t="array" ref="G58">_xlfn.IFS(
    OR(B58="Benue",B58="Kogi",B58="Kwara",B58="Nasarawa",B58="Niger",B58="Plateau",B58="FCT"),"North Central",
    OR(B58="Adamawa",B58="Bauchi",B58="Borno",B58="Gombe",B58="Taraba",B58="Yobe"),"North East",
    OR(B58="Kaduna",B58="Kano",B58="Katsina",B58="Kebbi",B58="Sokoto",B58="Zamfara","Jigawa"),"North West",
    OR(B58="Abia",B58="Anambra",B58="Ebonyi",B58="Enugu",B58="Imo"),"South East",
    OR(B58="Akwa Ibom",B58="Bayelsa",B58="Cross River",B58="Delta",B58="Edo",B58="Rivers"),"South South",
    OR(B58="Ekiti",B58="Lagos",B58="Ogun",B58="Ondo",B58="Osun",B58="Oyo"),"South West"
)</f>
        <v>South West</v>
      </c>
      <c r="H58">
        <f t="shared" si="0"/>
        <v>2400</v>
      </c>
    </row>
    <row r="59" spans="1:8" ht="15" thickBot="1" x14ac:dyDescent="0.4">
      <c r="A59" s="3">
        <v>2022</v>
      </c>
      <c r="B59" s="3" t="s">
        <v>19</v>
      </c>
      <c r="C59" s="3">
        <v>2500</v>
      </c>
      <c r="D59" s="3">
        <v>2500</v>
      </c>
      <c r="E59" s="4">
        <v>241</v>
      </c>
      <c r="F59" s="4">
        <v>2259</v>
      </c>
      <c r="G59" t="str" cm="1">
        <f t="array" ref="G59">_xlfn.IFS(
    OR(B59="Benue",B59="Kogi",B59="Kwara",B59="Nasarawa",B59="Niger",B59="Plateau",B59="FCT"),"North Central",
    OR(B59="Adamawa",B59="Bauchi",B59="Borno",B59="Gombe",B59="Taraba",B59="Yobe"),"North East",
    OR(B59="Kaduna",B59="Kano",B59="Katsina",B59="Kebbi",B59="Sokoto",B59="Zamfara","Jigawa"),"North West",
    OR(B59="Abia",B59="Anambra",B59="Ebonyi",B59="Enugu",B59="Imo"),"South East",
    OR(B59="Akwa Ibom",B59="Bayelsa",B59="Cross River",B59="Delta",B59="Edo",B59="Rivers"),"South South",
    OR(B59="Ekiti",B59="Lagos",B59="Ogun",B59="Ondo",B59="Osun",B59="Oyo"),"South West"
)</f>
        <v>South South</v>
      </c>
      <c r="H59">
        <f t="shared" si="0"/>
        <v>2500</v>
      </c>
    </row>
    <row r="60" spans="1:8" ht="15" thickBot="1" x14ac:dyDescent="0.4">
      <c r="A60" s="3">
        <v>2022</v>
      </c>
      <c r="B60" s="3" t="s">
        <v>22</v>
      </c>
      <c r="C60" s="3">
        <v>2700</v>
      </c>
      <c r="D60" s="3">
        <v>2700</v>
      </c>
      <c r="E60" s="4">
        <v>300</v>
      </c>
      <c r="F60" s="4">
        <v>2400</v>
      </c>
      <c r="G60" t="str" cm="1">
        <f t="array" ref="G60">_xlfn.IFS(
    OR(B60="Benue",B60="Kogi",B60="Kwara",B60="Nasarawa",B60="Niger",B60="Plateau",B60="FCT"),"North Central",
    OR(B60="Adamawa",B60="Bauchi",B60="Borno",B60="Gombe",B60="Taraba",B60="Yobe"),"North East",
    OR(B60="Kaduna",B60="Kano",B60="Katsina",B60="Kebbi",B60="Sokoto",B60="Zamfara","Jigawa"),"North West",
    OR(B60="Abia",B60="Anambra",B60="Ebonyi",B60="Enugu",B60="Imo"),"South East",
    OR(B60="Akwa Ibom",B60="Bayelsa",B60="Cross River",B60="Delta",B60="Edo",B60="Rivers"),"South South",
    OR(B60="Ekiti",B60="Lagos",B60="Ogun",B60="Ondo",B60="Osun",B60="Oyo"),"South West"
)</f>
        <v>South South</v>
      </c>
      <c r="H60">
        <f t="shared" si="0"/>
        <v>2700</v>
      </c>
    </row>
    <row r="61" spans="1:8" ht="15" thickBot="1" x14ac:dyDescent="0.4">
      <c r="A61" s="3">
        <v>2022</v>
      </c>
      <c r="B61" s="3" t="s">
        <v>22</v>
      </c>
      <c r="C61" s="3">
        <v>2350</v>
      </c>
      <c r="D61" s="3">
        <v>2350</v>
      </c>
      <c r="E61" s="4">
        <v>200</v>
      </c>
      <c r="F61" s="4">
        <v>2150</v>
      </c>
      <c r="G61" t="str" cm="1">
        <f t="array" ref="G61">_xlfn.IFS(
    OR(B61="Benue",B61="Kogi",B61="Kwara",B61="Nasarawa",B61="Niger",B61="Plateau",B61="FCT"),"North Central",
    OR(B61="Adamawa",B61="Bauchi",B61="Borno",B61="Gombe",B61="Taraba",B61="Yobe"),"North East",
    OR(B61="Kaduna",B61="Kano",B61="Katsina",B61="Kebbi",B61="Sokoto",B61="Zamfara","Jigawa"),"North West",
    OR(B61="Abia",B61="Anambra",B61="Ebonyi",B61="Enugu",B61="Imo"),"South East",
    OR(B61="Akwa Ibom",B61="Bayelsa",B61="Cross River",B61="Delta",B61="Edo",B61="Rivers"),"South South",
    OR(B61="Ekiti",B61="Lagos",B61="Ogun",B61="Ondo",B61="Osun",B61="Oyo"),"South West"
)</f>
        <v>South South</v>
      </c>
      <c r="H61">
        <f t="shared" si="0"/>
        <v>2350</v>
      </c>
    </row>
    <row r="62" spans="1:8" ht="15" thickBot="1" x14ac:dyDescent="0.4">
      <c r="A62" s="3">
        <v>2022</v>
      </c>
      <c r="B62" s="3" t="s">
        <v>22</v>
      </c>
      <c r="C62" s="3">
        <v>3000</v>
      </c>
      <c r="D62" s="3">
        <v>3000</v>
      </c>
      <c r="E62" s="4">
        <v>300</v>
      </c>
      <c r="F62" s="4">
        <v>2700</v>
      </c>
      <c r="G62" t="str" cm="1">
        <f t="array" ref="G62">_xlfn.IFS(
    OR(B62="Benue",B62="Kogi",B62="Kwara",B62="Nasarawa",B62="Niger",B62="Plateau",B62="FCT"),"North Central",
    OR(B62="Adamawa",B62="Bauchi",B62="Borno",B62="Gombe",B62="Taraba",B62="Yobe"),"North East",
    OR(B62="Kaduna",B62="Kano",B62="Katsina",B62="Kebbi",B62="Sokoto",B62="Zamfara","Jigawa"),"North West",
    OR(B62="Abia",B62="Anambra",B62="Ebonyi",B62="Enugu",B62="Imo"),"South East",
    OR(B62="Akwa Ibom",B62="Bayelsa",B62="Cross River",B62="Delta",B62="Edo",B62="Rivers"),"South South",
    OR(B62="Ekiti",B62="Lagos",B62="Ogun",B62="Ondo",B62="Osun",B62="Oyo"),"South West"
)</f>
        <v>South South</v>
      </c>
      <c r="H62">
        <f t="shared" si="0"/>
        <v>3000</v>
      </c>
    </row>
    <row r="63" spans="1:8" ht="15" thickBot="1" x14ac:dyDescent="0.4">
      <c r="A63" s="3">
        <v>2022</v>
      </c>
      <c r="B63" s="3" t="s">
        <v>19</v>
      </c>
      <c r="C63" s="3">
        <v>2850</v>
      </c>
      <c r="D63" s="3">
        <v>2850</v>
      </c>
      <c r="E63" s="4">
        <v>400</v>
      </c>
      <c r="F63" s="4">
        <v>2450</v>
      </c>
      <c r="G63" t="str" cm="1">
        <f t="array" ref="G63">_xlfn.IFS(
    OR(B63="Benue",B63="Kogi",B63="Kwara",B63="Nasarawa",B63="Niger",B63="Plateau",B63="FCT"),"North Central",
    OR(B63="Adamawa",B63="Bauchi",B63="Borno",B63="Gombe",B63="Taraba",B63="Yobe"),"North East",
    OR(B63="Kaduna",B63="Kano",B63="Katsina",B63="Kebbi",B63="Sokoto",B63="Zamfara","Jigawa"),"North West",
    OR(B63="Abia",B63="Anambra",B63="Ebonyi",B63="Enugu",B63="Imo"),"South East",
    OR(B63="Akwa Ibom",B63="Bayelsa",B63="Cross River",B63="Delta",B63="Edo",B63="Rivers"),"South South",
    OR(B63="Ekiti",B63="Lagos",B63="Ogun",B63="Ondo",B63="Osun",B63="Oyo"),"South West"
)</f>
        <v>South South</v>
      </c>
      <c r="H63">
        <f t="shared" si="0"/>
        <v>2850</v>
      </c>
    </row>
    <row r="64" spans="1:8" ht="15" thickBot="1" x14ac:dyDescent="0.4">
      <c r="A64" s="3">
        <v>2022</v>
      </c>
      <c r="B64" s="3" t="s">
        <v>19</v>
      </c>
      <c r="C64" s="3">
        <v>2019</v>
      </c>
      <c r="D64" s="3">
        <v>2019</v>
      </c>
      <c r="E64" s="4">
        <v>409</v>
      </c>
      <c r="F64" s="4">
        <v>1610</v>
      </c>
      <c r="G64" t="str" cm="1">
        <f t="array" ref="G64">_xlfn.IFS(
    OR(B64="Benue",B64="Kogi",B64="Kwara",B64="Nasarawa",B64="Niger",B64="Plateau",B64="FCT"),"North Central",
    OR(B64="Adamawa",B64="Bauchi",B64="Borno",B64="Gombe",B64="Taraba",B64="Yobe"),"North East",
    OR(B64="Kaduna",B64="Kano",B64="Katsina",B64="Kebbi",B64="Sokoto",B64="Zamfara","Jigawa"),"North West",
    OR(B64="Abia",B64="Anambra",B64="Ebonyi",B64="Enugu",B64="Imo"),"South East",
    OR(B64="Akwa Ibom",B64="Bayelsa",B64="Cross River",B64="Delta",B64="Edo",B64="Rivers"),"South South",
    OR(B64="Ekiti",B64="Lagos",B64="Ogun",B64="Ondo",B64="Osun",B64="Oyo"),"South West"
)</f>
        <v>South South</v>
      </c>
      <c r="H64">
        <f t="shared" si="0"/>
        <v>2019</v>
      </c>
    </row>
    <row r="65" spans="1:8" ht="15" thickBot="1" x14ac:dyDescent="0.4">
      <c r="A65" s="3">
        <v>2022</v>
      </c>
      <c r="B65" s="3" t="s">
        <v>7</v>
      </c>
      <c r="C65" s="3">
        <v>3950</v>
      </c>
      <c r="D65" s="3">
        <v>3950</v>
      </c>
      <c r="E65" s="4">
        <v>1451</v>
      </c>
      <c r="F65" s="4">
        <v>2499</v>
      </c>
      <c r="G65" t="str" cm="1">
        <f t="array" ref="G65">_xlfn.IFS(
    OR(B65="Benue",B65="Kogi",B65="Kwara",B65="Nasarawa",B65="Niger",B65="Plateau",B65="FCT"),"North Central",
    OR(B65="Adamawa",B65="Bauchi",B65="Borno",B65="Gombe",B65="Taraba",B65="Yobe"),"North East",
    OR(B65="Kaduna",B65="Kano",B65="Katsina",B65="Kebbi",B65="Sokoto",B65="Zamfara","Jigawa"),"North West",
    OR(B65="Abia",B65="Anambra",B65="Ebonyi",B65="Enugu",B65="Imo"),"South East",
    OR(B65="Akwa Ibom",B65="Bayelsa",B65="Cross River",B65="Delta",B65="Edo",B65="Rivers"),"South South",
    OR(B65="Ekiti",B65="Lagos",B65="Ogun",B65="Ondo",B65="Osun",B65="Oyo"),"South West"
)</f>
        <v>South South</v>
      </c>
      <c r="H65">
        <f t="shared" si="0"/>
        <v>3950</v>
      </c>
    </row>
    <row r="66" spans="1:8" ht="15" thickBot="1" x14ac:dyDescent="0.4">
      <c r="A66" s="3">
        <v>2022</v>
      </c>
      <c r="B66" s="3" t="s">
        <v>7</v>
      </c>
      <c r="C66" s="3">
        <v>5534</v>
      </c>
      <c r="D66" s="3">
        <v>5534</v>
      </c>
      <c r="E66" s="4">
        <v>2310</v>
      </c>
      <c r="F66" s="4">
        <v>3224</v>
      </c>
      <c r="G66" t="str" cm="1">
        <f t="array" ref="G66">_xlfn.IFS(
    OR(B66="Benue",B66="Kogi",B66="Kwara",B66="Nasarawa",B66="Niger",B66="Plateau",B66="FCT"),"North Central",
    OR(B66="Adamawa",B66="Bauchi",B66="Borno",B66="Gombe",B66="Taraba",B66="Yobe"),"North East",
    OR(B66="Kaduna",B66="Kano",B66="Katsina",B66="Kebbi",B66="Sokoto",B66="Zamfara","Jigawa"),"North West",
    OR(B66="Abia",B66="Anambra",B66="Ebonyi",B66="Enugu",B66="Imo"),"South East",
    OR(B66="Akwa Ibom",B66="Bayelsa",B66="Cross River",B66="Delta",B66="Edo",B66="Rivers"),"South South",
    OR(B66="Ekiti",B66="Lagos",B66="Ogun",B66="Ondo",B66="Osun",B66="Oyo"),"South West"
)</f>
        <v>South South</v>
      </c>
      <c r="H66">
        <f t="shared" si="0"/>
        <v>5534</v>
      </c>
    </row>
    <row r="67" spans="1:8" ht="15" thickBot="1" x14ac:dyDescent="0.4">
      <c r="A67" s="3">
        <v>2022</v>
      </c>
      <c r="B67" s="3" t="s">
        <v>7</v>
      </c>
      <c r="C67" s="3">
        <v>2000</v>
      </c>
      <c r="D67" s="3">
        <v>2000</v>
      </c>
      <c r="E67" s="4">
        <v>1205</v>
      </c>
      <c r="F67" s="4">
        <v>795</v>
      </c>
      <c r="G67" t="str" cm="1">
        <f t="array" ref="G67">_xlfn.IFS(
    OR(B67="Benue",B67="Kogi",B67="Kwara",B67="Nasarawa",B67="Niger",B67="Plateau",B67="FCT"),"North Central",
    OR(B67="Adamawa",B67="Bauchi",B67="Borno",B67="Gombe",B67="Taraba",B67="Yobe"),"North East",
    OR(B67="Kaduna",B67="Kano",B67="Katsina",B67="Kebbi",B67="Sokoto",B67="Zamfara","Jigawa"),"North West",
    OR(B67="Abia",B67="Anambra",B67="Ebonyi",B67="Enugu",B67="Imo"),"South East",
    OR(B67="Akwa Ibom",B67="Bayelsa",B67="Cross River",B67="Delta",B67="Edo",B67="Rivers"),"South South",
    OR(B67="Ekiti",B67="Lagos",B67="Ogun",B67="Ondo",B67="Osun",B67="Oyo"),"South West"
)</f>
        <v>South South</v>
      </c>
      <c r="H67">
        <f t="shared" ref="H67:H130" si="1">E67+F67</f>
        <v>2000</v>
      </c>
    </row>
    <row r="68" spans="1:8" ht="15" thickBot="1" x14ac:dyDescent="0.4">
      <c r="A68" s="3">
        <v>2022</v>
      </c>
      <c r="B68" s="3" t="s">
        <v>7</v>
      </c>
      <c r="C68" s="3">
        <v>2000</v>
      </c>
      <c r="D68" s="3">
        <v>2000</v>
      </c>
      <c r="E68" s="4">
        <v>352</v>
      </c>
      <c r="F68" s="4">
        <v>1648</v>
      </c>
      <c r="G68" t="str" cm="1">
        <f t="array" ref="G68">_xlfn.IFS(
    OR(B68="Benue",B68="Kogi",B68="Kwara",B68="Nasarawa",B68="Niger",B68="Plateau",B68="FCT"),"North Central",
    OR(B68="Adamawa",B68="Bauchi",B68="Borno",B68="Gombe",B68="Taraba",B68="Yobe"),"North East",
    OR(B68="Kaduna",B68="Kano",B68="Katsina",B68="Kebbi",B68="Sokoto",B68="Zamfara","Jigawa"),"North West",
    OR(B68="Abia",B68="Anambra",B68="Ebonyi",B68="Enugu",B68="Imo"),"South East",
    OR(B68="Akwa Ibom",B68="Bayelsa",B68="Cross River",B68="Delta",B68="Edo",B68="Rivers"),"South South",
    OR(B68="Ekiti",B68="Lagos",B68="Ogun",B68="Ondo",B68="Osun",B68="Oyo"),"South West"
)</f>
        <v>South South</v>
      </c>
      <c r="H68">
        <f t="shared" si="1"/>
        <v>2000</v>
      </c>
    </row>
    <row r="69" spans="1:8" ht="15" thickBot="1" x14ac:dyDescent="0.4">
      <c r="A69" s="3">
        <v>2022</v>
      </c>
      <c r="B69" s="3" t="s">
        <v>7</v>
      </c>
      <c r="C69" s="3">
        <v>1200</v>
      </c>
      <c r="D69" s="3">
        <v>1200</v>
      </c>
      <c r="E69" s="4">
        <v>817</v>
      </c>
      <c r="F69" s="4">
        <v>383</v>
      </c>
      <c r="G69" t="str" cm="1">
        <f t="array" ref="G69">_xlfn.IFS(
    OR(B69="Benue",B69="Kogi",B69="Kwara",B69="Nasarawa",B69="Niger",B69="Plateau",B69="FCT"),"North Central",
    OR(B69="Adamawa",B69="Bauchi",B69="Borno",B69="Gombe",B69="Taraba",B69="Yobe"),"North East",
    OR(B69="Kaduna",B69="Kano",B69="Katsina",B69="Kebbi",B69="Sokoto",B69="Zamfara","Jigawa"),"North West",
    OR(B69="Abia",B69="Anambra",B69="Ebonyi",B69="Enugu",B69="Imo"),"South East",
    OR(B69="Akwa Ibom",B69="Bayelsa",B69="Cross River",B69="Delta",B69="Edo",B69="Rivers"),"South South",
    OR(B69="Ekiti",B69="Lagos",B69="Ogun",B69="Ondo",B69="Osun",B69="Oyo"),"South West"
)</f>
        <v>South South</v>
      </c>
      <c r="H69">
        <f t="shared" si="1"/>
        <v>1200</v>
      </c>
    </row>
    <row r="70" spans="1:8" ht="15" thickBot="1" x14ac:dyDescent="0.4">
      <c r="A70" s="3">
        <v>2022</v>
      </c>
      <c r="B70" s="3" t="s">
        <v>22</v>
      </c>
      <c r="C70" s="3">
        <v>1000</v>
      </c>
      <c r="D70" s="3">
        <v>1000</v>
      </c>
      <c r="E70" s="4">
        <v>449</v>
      </c>
      <c r="F70" s="4">
        <v>551</v>
      </c>
      <c r="G70" t="str" cm="1">
        <f t="array" ref="G70">_xlfn.IFS(
    OR(B70="Benue",B70="Kogi",B70="Kwara",B70="Nasarawa",B70="Niger",B70="Plateau",B70="FCT"),"North Central",
    OR(B70="Adamawa",B70="Bauchi",B70="Borno",B70="Gombe",B70="Taraba",B70="Yobe"),"North East",
    OR(B70="Kaduna",B70="Kano",B70="Katsina",B70="Kebbi",B70="Sokoto",B70="Zamfara","Jigawa"),"North West",
    OR(B70="Abia",B70="Anambra",B70="Ebonyi",B70="Enugu",B70="Imo"),"South East",
    OR(B70="Akwa Ibom",B70="Bayelsa",B70="Cross River",B70="Delta",B70="Edo",B70="Rivers"),"South South",
    OR(B70="Ekiti",B70="Lagos",B70="Ogun",B70="Ondo",B70="Osun",B70="Oyo"),"South West"
)</f>
        <v>South South</v>
      </c>
      <c r="H70">
        <f t="shared" si="1"/>
        <v>1000</v>
      </c>
    </row>
    <row r="71" spans="1:8" ht="15" thickBot="1" x14ac:dyDescent="0.4">
      <c r="A71" s="3">
        <v>2022</v>
      </c>
      <c r="B71" s="3" t="s">
        <v>23</v>
      </c>
      <c r="C71" s="3">
        <v>150</v>
      </c>
      <c r="D71" s="3">
        <v>150</v>
      </c>
      <c r="E71" s="4">
        <v>150</v>
      </c>
      <c r="F71" s="4"/>
      <c r="G71" t="str" cm="1">
        <f t="array" ref="G71">_xlfn.IFS(
    OR(B71="Benue",B71="Kogi",B71="Kwara",B71="Nasarawa",B71="Niger",B71="Plateau",B71="FCT"),"North Central",
    OR(B71="Adamawa",B71="Bauchi",B71="Borno",B71="Gombe",B71="Taraba",B71="Yobe"),"North East",
    OR(B71="Kaduna",B71="Kano",B71="Katsina",B71="Kebbi",B71="Sokoto",B71="Zamfara","Jigawa"),"North West",
    OR(B71="Abia",B71="Anambra",B71="Ebonyi",B71="Enugu",B71="Imo"),"South East",
    OR(B71="Akwa Ibom",B71="Bayelsa",B71="Cross River",B71="Delta",B71="Edo",B71="Rivers"),"South South",
    OR(B71="Ekiti",B71="Lagos",B71="Ogun",B71="Ondo",B71="Osun",B71="Oyo"),"South West"
)</f>
        <v>North East</v>
      </c>
      <c r="H71">
        <f t="shared" si="1"/>
        <v>150</v>
      </c>
    </row>
    <row r="72" spans="1:8" ht="15" thickBot="1" x14ac:dyDescent="0.4">
      <c r="A72" s="3">
        <v>2022</v>
      </c>
      <c r="B72" s="3" t="s">
        <v>23</v>
      </c>
      <c r="C72" s="3">
        <v>26</v>
      </c>
      <c r="D72" s="3">
        <v>26</v>
      </c>
      <c r="E72" s="4">
        <v>26</v>
      </c>
      <c r="F72" s="4"/>
      <c r="G72" t="str" cm="1">
        <f t="array" ref="G72">_xlfn.IFS(
    OR(B72="Benue",B72="Kogi",B72="Kwara",B72="Nasarawa",B72="Niger",B72="Plateau",B72="FCT"),"North Central",
    OR(B72="Adamawa",B72="Bauchi",B72="Borno",B72="Gombe",B72="Taraba",B72="Yobe"),"North East",
    OR(B72="Kaduna",B72="Kano",B72="Katsina",B72="Kebbi",B72="Sokoto",B72="Zamfara","Jigawa"),"North West",
    OR(B72="Abia",B72="Anambra",B72="Ebonyi",B72="Enugu",B72="Imo"),"South East",
    OR(B72="Akwa Ibom",B72="Bayelsa",B72="Cross River",B72="Delta",B72="Edo",B72="Rivers"),"South South",
    OR(B72="Ekiti",B72="Lagos",B72="Ogun",B72="Ondo",B72="Osun",B72="Oyo"),"South West"
)</f>
        <v>North East</v>
      </c>
      <c r="H72">
        <f t="shared" si="1"/>
        <v>26</v>
      </c>
    </row>
    <row r="73" spans="1:8" ht="15" thickBot="1" x14ac:dyDescent="0.4">
      <c r="A73" s="3">
        <v>2022</v>
      </c>
      <c r="B73" s="3" t="s">
        <v>23</v>
      </c>
      <c r="C73" s="3">
        <v>82</v>
      </c>
      <c r="D73" s="3">
        <v>82</v>
      </c>
      <c r="E73" s="4">
        <v>82</v>
      </c>
      <c r="F73" s="4"/>
      <c r="G73" t="str" cm="1">
        <f t="array" ref="G73">_xlfn.IFS(
    OR(B73="Benue",B73="Kogi",B73="Kwara",B73="Nasarawa",B73="Niger",B73="Plateau",B73="FCT"),"North Central",
    OR(B73="Adamawa",B73="Bauchi",B73="Borno",B73="Gombe",B73="Taraba",B73="Yobe"),"North East",
    OR(B73="Kaduna",B73="Kano",B73="Katsina",B73="Kebbi",B73="Sokoto",B73="Zamfara","Jigawa"),"North West",
    OR(B73="Abia",B73="Anambra",B73="Ebonyi",B73="Enugu",B73="Imo"),"South East",
    OR(B73="Akwa Ibom",B73="Bayelsa",B73="Cross River",B73="Delta",B73="Edo",B73="Rivers"),"South South",
    OR(B73="Ekiti",B73="Lagos",B73="Ogun",B73="Ondo",B73="Osun",B73="Oyo"),"South West"
)</f>
        <v>North East</v>
      </c>
      <c r="H73">
        <f t="shared" si="1"/>
        <v>82</v>
      </c>
    </row>
    <row r="74" spans="1:8" ht="15" thickBot="1" x14ac:dyDescent="0.4">
      <c r="A74" s="3">
        <v>2022</v>
      </c>
      <c r="B74" s="3" t="s">
        <v>23</v>
      </c>
      <c r="C74" s="3">
        <v>126</v>
      </c>
      <c r="D74" s="3">
        <v>126</v>
      </c>
      <c r="E74" s="4">
        <v>104</v>
      </c>
      <c r="F74" s="4">
        <v>22</v>
      </c>
      <c r="G74" t="str" cm="1">
        <f t="array" ref="G74">_xlfn.IFS(
    OR(B74="Benue",B74="Kogi",B74="Kwara",B74="Nasarawa",B74="Niger",B74="Plateau",B74="FCT"),"North Central",
    OR(B74="Adamawa",B74="Bauchi",B74="Borno",B74="Gombe",B74="Taraba",B74="Yobe"),"North East",
    OR(B74="Kaduna",B74="Kano",B74="Katsina",B74="Kebbi",B74="Sokoto",B74="Zamfara","Jigawa"),"North West",
    OR(B74="Abia",B74="Anambra",B74="Ebonyi",B74="Enugu",B74="Imo"),"South East",
    OR(B74="Akwa Ibom",B74="Bayelsa",B74="Cross River",B74="Delta",B74="Edo",B74="Rivers"),"South South",
    OR(B74="Ekiti",B74="Lagos",B74="Ogun",B74="Ondo",B74="Osun",B74="Oyo"),"South West"
)</f>
        <v>North East</v>
      </c>
      <c r="H74">
        <f t="shared" si="1"/>
        <v>126</v>
      </c>
    </row>
    <row r="75" spans="1:8" ht="15" thickBot="1" x14ac:dyDescent="0.4">
      <c r="A75" s="3">
        <v>2022</v>
      </c>
      <c r="B75" s="3" t="s">
        <v>23</v>
      </c>
      <c r="C75" s="3">
        <v>3500</v>
      </c>
      <c r="D75" s="3">
        <v>3500</v>
      </c>
      <c r="E75" s="4">
        <v>350</v>
      </c>
      <c r="F75" s="4">
        <v>3150</v>
      </c>
      <c r="G75" t="str" cm="1">
        <f t="array" ref="G75">_xlfn.IFS(
    OR(B75="Benue",B75="Kogi",B75="Kwara",B75="Nasarawa",B75="Niger",B75="Plateau",B75="FCT"),"North Central",
    OR(B75="Adamawa",B75="Bauchi",B75="Borno",B75="Gombe",B75="Taraba",B75="Yobe"),"North East",
    OR(B75="Kaduna",B75="Kano",B75="Katsina",B75="Kebbi",B75="Sokoto",B75="Zamfara","Jigawa"),"North West",
    OR(B75="Abia",B75="Anambra",B75="Ebonyi",B75="Enugu",B75="Imo"),"South East",
    OR(B75="Akwa Ibom",B75="Bayelsa",B75="Cross River",B75="Delta",B75="Edo",B75="Rivers"),"South South",
    OR(B75="Ekiti",B75="Lagos",B75="Ogun",B75="Ondo",B75="Osun",B75="Oyo"),"South West"
)</f>
        <v>North East</v>
      </c>
      <c r="H75">
        <f t="shared" si="1"/>
        <v>3500</v>
      </c>
    </row>
    <row r="76" spans="1:8" ht="15" thickBot="1" x14ac:dyDescent="0.4">
      <c r="A76" s="3">
        <v>2022</v>
      </c>
      <c r="B76" s="3" t="s">
        <v>23</v>
      </c>
      <c r="C76" s="3">
        <v>3200</v>
      </c>
      <c r="D76" s="3">
        <v>3200</v>
      </c>
      <c r="E76" s="4">
        <v>907</v>
      </c>
      <c r="F76" s="4">
        <v>2293</v>
      </c>
      <c r="G76" t="str" cm="1">
        <f t="array" ref="G76">_xlfn.IFS(
    OR(B76="Benue",B76="Kogi",B76="Kwara",B76="Nasarawa",B76="Niger",B76="Plateau",B76="FCT"),"North Central",
    OR(B76="Adamawa",B76="Bauchi",B76="Borno",B76="Gombe",B76="Taraba",B76="Yobe"),"North East",
    OR(B76="Kaduna",B76="Kano",B76="Katsina",B76="Kebbi",B76="Sokoto",B76="Zamfara","Jigawa"),"North West",
    OR(B76="Abia",B76="Anambra",B76="Ebonyi",B76="Enugu",B76="Imo"),"South East",
    OR(B76="Akwa Ibom",B76="Bayelsa",B76="Cross River",B76="Delta",B76="Edo",B76="Rivers"),"South South",
    OR(B76="Ekiti",B76="Lagos",B76="Ogun",B76="Ondo",B76="Osun",B76="Oyo"),"South West"
)</f>
        <v>North East</v>
      </c>
      <c r="H76">
        <f t="shared" si="1"/>
        <v>3200</v>
      </c>
    </row>
    <row r="77" spans="1:8" ht="15" thickBot="1" x14ac:dyDescent="0.4">
      <c r="A77" s="3">
        <v>2022</v>
      </c>
      <c r="B77" s="3" t="s">
        <v>11</v>
      </c>
      <c r="C77" s="3">
        <v>60</v>
      </c>
      <c r="D77" s="3">
        <v>60</v>
      </c>
      <c r="E77" s="4">
        <v>10</v>
      </c>
      <c r="F77" s="4">
        <v>50</v>
      </c>
      <c r="G77" t="str" cm="1">
        <f t="array" ref="G77">_xlfn.IFS(
    OR(B77="Benue",B77="Kogi",B77="Kwara",B77="Nasarawa",B77="Niger",B77="Plateau",B77="FCT"),"North Central",
    OR(B77="Adamawa",B77="Bauchi",B77="Borno",B77="Gombe",B77="Taraba",B77="Yobe"),"North East",
    OR(B77="Kaduna",B77="Kano",B77="Katsina",B77="Kebbi",B77="Sokoto",B77="Zamfara","Jigawa"),"North West",
    OR(B77="Abia",B77="Anambra",B77="Ebonyi",B77="Enugu",B77="Imo"),"South East",
    OR(B77="Akwa Ibom",B77="Bayelsa",B77="Cross River",B77="Delta",B77="Edo",B77="Rivers"),"South South",
    OR(B77="Ekiti",B77="Lagos",B77="Ogun",B77="Ondo",B77="Osun",B77="Oyo"),"South West"
)</f>
        <v>South West</v>
      </c>
      <c r="H77">
        <f t="shared" si="1"/>
        <v>60</v>
      </c>
    </row>
    <row r="78" spans="1:8" ht="15" thickBot="1" x14ac:dyDescent="0.4">
      <c r="A78" s="3">
        <v>2022</v>
      </c>
      <c r="B78" s="3" t="s">
        <v>11</v>
      </c>
      <c r="C78" s="3">
        <v>50</v>
      </c>
      <c r="D78" s="3">
        <v>50</v>
      </c>
      <c r="E78" s="4">
        <v>5</v>
      </c>
      <c r="F78" s="4">
        <v>45</v>
      </c>
      <c r="G78" t="str" cm="1">
        <f t="array" ref="G78">_xlfn.IFS(
    OR(B78="Benue",B78="Kogi",B78="Kwara",B78="Nasarawa",B78="Niger",B78="Plateau",B78="FCT"),"North Central",
    OR(B78="Adamawa",B78="Bauchi",B78="Borno",B78="Gombe",B78="Taraba",B78="Yobe"),"North East",
    OR(B78="Kaduna",B78="Kano",B78="Katsina",B78="Kebbi",B78="Sokoto",B78="Zamfara","Jigawa"),"North West",
    OR(B78="Abia",B78="Anambra",B78="Ebonyi",B78="Enugu",B78="Imo"),"South East",
    OR(B78="Akwa Ibom",B78="Bayelsa",B78="Cross River",B78="Delta",B78="Edo",B78="Rivers"),"South South",
    OR(B78="Ekiti",B78="Lagos",B78="Ogun",B78="Ondo",B78="Osun",B78="Oyo"),"South West"
)</f>
        <v>South West</v>
      </c>
      <c r="H78">
        <f t="shared" si="1"/>
        <v>50</v>
      </c>
    </row>
    <row r="79" spans="1:8" ht="15" thickBot="1" x14ac:dyDescent="0.4">
      <c r="A79" s="3">
        <v>2022</v>
      </c>
      <c r="B79" s="3" t="s">
        <v>11</v>
      </c>
      <c r="C79" s="3">
        <v>1420</v>
      </c>
      <c r="D79" s="3">
        <v>1420</v>
      </c>
      <c r="E79" s="4">
        <v>20</v>
      </c>
      <c r="F79" s="4">
        <v>1400</v>
      </c>
      <c r="G79" t="str" cm="1">
        <f t="array" ref="G79">_xlfn.IFS(
    OR(B79="Benue",B79="Kogi",B79="Kwara",B79="Nasarawa",B79="Niger",B79="Plateau",B79="FCT"),"North Central",
    OR(B79="Adamawa",B79="Bauchi",B79="Borno",B79="Gombe",B79="Taraba",B79="Yobe"),"North East",
    OR(B79="Kaduna",B79="Kano",B79="Katsina",B79="Kebbi",B79="Sokoto",B79="Zamfara","Jigawa"),"North West",
    OR(B79="Abia",B79="Anambra",B79="Ebonyi",B79="Enugu",B79="Imo"),"South East",
    OR(B79="Akwa Ibom",B79="Bayelsa",B79="Cross River",B79="Delta",B79="Edo",B79="Rivers"),"South South",
    OR(B79="Ekiti",B79="Lagos",B79="Ogun",B79="Ondo",B79="Osun",B79="Oyo"),"South West"
)</f>
        <v>South West</v>
      </c>
      <c r="H79">
        <f t="shared" si="1"/>
        <v>1420</v>
      </c>
    </row>
    <row r="80" spans="1:8" ht="15" thickBot="1" x14ac:dyDescent="0.4">
      <c r="A80" s="3">
        <v>2022</v>
      </c>
      <c r="B80" s="3" t="s">
        <v>11</v>
      </c>
      <c r="C80" s="3">
        <v>1400</v>
      </c>
      <c r="D80" s="3">
        <v>1400</v>
      </c>
      <c r="E80" s="4">
        <v>50</v>
      </c>
      <c r="F80" s="4">
        <v>1350</v>
      </c>
      <c r="G80" t="str" cm="1">
        <f t="array" ref="G80">_xlfn.IFS(
    OR(B80="Benue",B80="Kogi",B80="Kwara",B80="Nasarawa",B80="Niger",B80="Plateau",B80="FCT"),"North Central",
    OR(B80="Adamawa",B80="Bauchi",B80="Borno",B80="Gombe",B80="Taraba",B80="Yobe"),"North East",
    OR(B80="Kaduna",B80="Kano",B80="Katsina",B80="Kebbi",B80="Sokoto",B80="Zamfara","Jigawa"),"North West",
    OR(B80="Abia",B80="Anambra",B80="Ebonyi",B80="Enugu",B80="Imo"),"South East",
    OR(B80="Akwa Ibom",B80="Bayelsa",B80="Cross River",B80="Delta",B80="Edo",B80="Rivers"),"South South",
    OR(B80="Ekiti",B80="Lagos",B80="Ogun",B80="Ondo",B80="Osun",B80="Oyo"),"South West"
)</f>
        <v>South West</v>
      </c>
      <c r="H80">
        <f t="shared" si="1"/>
        <v>1400</v>
      </c>
    </row>
    <row r="81" spans="1:8" ht="15" thickBot="1" x14ac:dyDescent="0.4">
      <c r="A81" s="3">
        <v>2022</v>
      </c>
      <c r="B81" s="3" t="s">
        <v>11</v>
      </c>
      <c r="C81" s="3">
        <v>1200</v>
      </c>
      <c r="D81" s="3">
        <v>1200</v>
      </c>
      <c r="E81" s="4">
        <v>100</v>
      </c>
      <c r="F81" s="4">
        <v>1100</v>
      </c>
      <c r="G81" t="str" cm="1">
        <f t="array" ref="G81">_xlfn.IFS(
    OR(B81="Benue",B81="Kogi",B81="Kwara",B81="Nasarawa",B81="Niger",B81="Plateau",B81="FCT"),"North Central",
    OR(B81="Adamawa",B81="Bauchi",B81="Borno",B81="Gombe",B81="Taraba",B81="Yobe"),"North East",
    OR(B81="Kaduna",B81="Kano",B81="Katsina",B81="Kebbi",B81="Sokoto",B81="Zamfara","Jigawa"),"North West",
    OR(B81="Abia",B81="Anambra",B81="Ebonyi",B81="Enugu",B81="Imo"),"South East",
    OR(B81="Akwa Ibom",B81="Bayelsa",B81="Cross River",B81="Delta",B81="Edo",B81="Rivers"),"South South",
    OR(B81="Ekiti",B81="Lagos",B81="Ogun",B81="Ondo",B81="Osun",B81="Oyo"),"South West"
)</f>
        <v>South West</v>
      </c>
      <c r="H81">
        <f t="shared" si="1"/>
        <v>1200</v>
      </c>
    </row>
    <row r="82" spans="1:8" ht="15" thickBot="1" x14ac:dyDescent="0.4">
      <c r="A82" s="3">
        <v>2022</v>
      </c>
      <c r="B82" s="3" t="s">
        <v>10</v>
      </c>
      <c r="C82" s="3">
        <v>90000</v>
      </c>
      <c r="D82" s="3">
        <v>90000</v>
      </c>
      <c r="E82" s="4">
        <v>6736</v>
      </c>
      <c r="F82" s="4">
        <v>83264</v>
      </c>
      <c r="G82" t="str" cm="1">
        <f t="array" ref="G82">_xlfn.IFS(
    OR(B82="Benue",B82="Kogi",B82="Kwara",B82="Nasarawa",B82="Niger",B82="Plateau",B82="FCT"),"North Central",
    OR(B82="Adamawa",B82="Bauchi",B82="Borno",B82="Gombe",B82="Taraba",B82="Yobe"),"North East",
    OR(B82="Kaduna",B82="Kano",B82="Katsina",B82="Kebbi",B82="Sokoto",B82="Zamfara","Jigawa"),"North West",
    OR(B82="Abia",B82="Anambra",B82="Ebonyi",B82="Enugu",B82="Imo"),"South East",
    OR(B82="Akwa Ibom",B82="Bayelsa",B82="Cross River",B82="Delta",B82="Edo",B82="Rivers"),"South South",
    OR(B82="Ekiti",B82="Lagos",B82="Ogun",B82="Ondo",B82="Osun",B82="Oyo"),"South West"
)</f>
        <v>South West</v>
      </c>
      <c r="H82">
        <f t="shared" si="1"/>
        <v>90000</v>
      </c>
    </row>
    <row r="83" spans="1:8" ht="15" thickBot="1" x14ac:dyDescent="0.4">
      <c r="A83" s="3">
        <v>2022</v>
      </c>
      <c r="B83" s="3" t="s">
        <v>23</v>
      </c>
      <c r="C83" s="3">
        <v>14000</v>
      </c>
      <c r="D83" s="3">
        <v>14000</v>
      </c>
      <c r="E83" s="4">
        <v>4000</v>
      </c>
      <c r="F83" s="4">
        <v>10000</v>
      </c>
      <c r="G83" t="str" cm="1">
        <f t="array" ref="G83">_xlfn.IFS(
    OR(B83="Benue",B83="Kogi",B83="Kwara",B83="Nasarawa",B83="Niger",B83="Plateau",B83="FCT"),"North Central",
    OR(B83="Adamawa",B83="Bauchi",B83="Borno",B83="Gombe",B83="Taraba",B83="Yobe"),"North East",
    OR(B83="Kaduna",B83="Kano",B83="Katsina",B83="Kebbi",B83="Sokoto",B83="Zamfara","Jigawa"),"North West",
    OR(B83="Abia",B83="Anambra",B83="Ebonyi",B83="Enugu",B83="Imo"),"South East",
    OR(B83="Akwa Ibom",B83="Bayelsa",B83="Cross River",B83="Delta",B83="Edo",B83="Rivers"),"South South",
    OR(B83="Ekiti",B83="Lagos",B83="Ogun",B83="Ondo",B83="Osun",B83="Oyo"),"South West"
)</f>
        <v>North East</v>
      </c>
      <c r="H83">
        <f t="shared" si="1"/>
        <v>14000</v>
      </c>
    </row>
    <row r="84" spans="1:8" ht="15" thickBot="1" x14ac:dyDescent="0.4">
      <c r="A84" s="3">
        <v>2022</v>
      </c>
      <c r="B84" s="3" t="s">
        <v>6</v>
      </c>
      <c r="C84" s="3">
        <v>12800</v>
      </c>
      <c r="D84" s="3">
        <v>12800</v>
      </c>
      <c r="E84" s="4">
        <v>800</v>
      </c>
      <c r="F84" s="4">
        <v>12000</v>
      </c>
      <c r="G84" t="str" cm="1">
        <f t="array" ref="G84">_xlfn.IFS(
    OR(B84="Benue",B84="Kogi",B84="Kwara",B84="Nasarawa",B84="Niger",B84="Plateau",B84="FCT"),"North Central",
    OR(B84="Adamawa",B84="Bauchi",B84="Borno",B84="Gombe",B84="Taraba",B84="Yobe"),"North East",
    OR(B84="Kaduna",B84="Kano",B84="Katsina",B84="Kebbi",B84="Sokoto",B84="Zamfara","Jigawa"),"North West",
    OR(B84="Abia",B84="Anambra",B84="Ebonyi",B84="Enugu",B84="Imo"),"South East",
    OR(B84="Akwa Ibom",B84="Bayelsa",B84="Cross River",B84="Delta",B84="Edo",B84="Rivers"),"South South",
    OR(B84="Ekiti",B84="Lagos",B84="Ogun",B84="Ondo",B84="Osun",B84="Oyo"),"South West"
)</f>
        <v>North West</v>
      </c>
      <c r="H84">
        <f t="shared" si="1"/>
        <v>12800</v>
      </c>
    </row>
    <row r="85" spans="1:8" ht="15" thickBot="1" x14ac:dyDescent="0.4">
      <c r="A85" s="3">
        <v>2022</v>
      </c>
      <c r="B85" s="3" t="s">
        <v>24</v>
      </c>
      <c r="C85" s="3">
        <v>4000</v>
      </c>
      <c r="D85" s="3">
        <v>4000</v>
      </c>
      <c r="E85" s="4">
        <v>400</v>
      </c>
      <c r="F85" s="4">
        <v>3600</v>
      </c>
      <c r="G85" t="str" cm="1">
        <f t="array" ref="G85">_xlfn.IFS(
    OR(B85="Benue",B85="Kogi",B85="Kwara",B85="Nasarawa",B85="Niger",B85="Plateau",B85="FCT"),"North Central",
    OR(B85="Adamawa",B85="Bauchi",B85="Borno",B85="Gombe",B85="Taraba",B85="Yobe"),"North East",
    OR(B85="Kaduna",B85="Kano",B85="Katsina",B85="Kebbi",B85="Sokoto",B85="Zamfara","Jigawa"),"North West",
    OR(B85="Abia",B85="Anambra",B85="Ebonyi",B85="Enugu",B85="Imo"),"South East",
    OR(B85="Akwa Ibom",B85="Bayelsa",B85="Cross River",B85="Delta",B85="Edo",B85="Rivers"),"South South",
    OR(B85="Ekiti",B85="Lagos",B85="Ogun",B85="Ondo",B85="Osun",B85="Oyo"),"South West"
)</f>
        <v>North West</v>
      </c>
      <c r="H85">
        <f t="shared" si="1"/>
        <v>4000</v>
      </c>
    </row>
    <row r="86" spans="1:8" ht="15" thickBot="1" x14ac:dyDescent="0.4">
      <c r="A86" s="3">
        <v>2022</v>
      </c>
      <c r="B86" s="3" t="s">
        <v>24</v>
      </c>
      <c r="C86" s="3">
        <v>49000</v>
      </c>
      <c r="D86" s="3">
        <v>49000</v>
      </c>
      <c r="E86" s="4">
        <v>600</v>
      </c>
      <c r="F86" s="4">
        <v>48400</v>
      </c>
      <c r="G86" t="str" cm="1">
        <f t="array" ref="G86">_xlfn.IFS(
    OR(B86="Benue",B86="Kogi",B86="Kwara",B86="Nasarawa",B86="Niger",B86="Plateau",B86="FCT"),"North Central",
    OR(B86="Adamawa",B86="Bauchi",B86="Borno",B86="Gombe",B86="Taraba",B86="Yobe"),"North East",
    OR(B86="Kaduna",B86="Kano",B86="Katsina",B86="Kebbi",B86="Sokoto",B86="Zamfara","Jigawa"),"North West",
    OR(B86="Abia",B86="Anambra",B86="Ebonyi",B86="Enugu",B86="Imo"),"South East",
    OR(B86="Akwa Ibom",B86="Bayelsa",B86="Cross River",B86="Delta",B86="Edo",B86="Rivers"),"South South",
    OR(B86="Ekiti",B86="Lagos",B86="Ogun",B86="Ondo",B86="Osun",B86="Oyo"),"South West"
)</f>
        <v>North West</v>
      </c>
      <c r="H86">
        <f t="shared" si="1"/>
        <v>49000</v>
      </c>
    </row>
    <row r="87" spans="1:8" ht="15" thickBot="1" x14ac:dyDescent="0.4">
      <c r="A87" s="3">
        <v>2022</v>
      </c>
      <c r="B87" s="3" t="s">
        <v>6</v>
      </c>
      <c r="C87" s="3">
        <v>800</v>
      </c>
      <c r="D87" s="3">
        <v>800</v>
      </c>
      <c r="E87" s="4">
        <v>500</v>
      </c>
      <c r="F87" s="4">
        <v>300</v>
      </c>
      <c r="G87" t="str" cm="1">
        <f t="array" ref="G87">_xlfn.IFS(
    OR(B87="Benue",B87="Kogi",B87="Kwara",B87="Nasarawa",B87="Niger",B87="Plateau",B87="FCT"),"North Central",
    OR(B87="Adamawa",B87="Bauchi",B87="Borno",B87="Gombe",B87="Taraba",B87="Yobe"),"North East",
    OR(B87="Kaduna",B87="Kano",B87="Katsina",B87="Kebbi",B87="Sokoto",B87="Zamfara","Jigawa"),"North West",
    OR(B87="Abia",B87="Anambra",B87="Ebonyi",B87="Enugu",B87="Imo"),"South East",
    OR(B87="Akwa Ibom",B87="Bayelsa",B87="Cross River",B87="Delta",B87="Edo",B87="Rivers"),"South South",
    OR(B87="Ekiti",B87="Lagos",B87="Ogun",B87="Ondo",B87="Osun",B87="Oyo"),"South West"
)</f>
        <v>North West</v>
      </c>
      <c r="H87">
        <f t="shared" si="1"/>
        <v>800</v>
      </c>
    </row>
    <row r="88" spans="1:8" ht="15" thickBot="1" x14ac:dyDescent="0.4">
      <c r="A88" s="3">
        <v>2022</v>
      </c>
      <c r="B88" s="3" t="s">
        <v>25</v>
      </c>
      <c r="C88" s="3">
        <v>2000</v>
      </c>
      <c r="D88" s="3">
        <v>2000</v>
      </c>
      <c r="E88" s="4">
        <v>50</v>
      </c>
      <c r="F88" s="4">
        <v>1950</v>
      </c>
      <c r="G88" t="str" cm="1">
        <f t="array" ref="G88">_xlfn.IFS(
    OR(B88="Benue",B88="Kogi",B88="Kwara",B88="Nasarawa",B88="Niger",B88="Plateau",B88="FCT"),"North Central",
    OR(B88="Adamawa",B88="Bauchi",B88="Borno",B88="Gombe",B88="Taraba",B88="Yobe"),"North East",
    OR(B88="Kaduna",B88="Kano",B88="Katsina",B88="Kebbi",B88="Sokoto",B88="Zamfara","Jigawa"),"North West",
    OR(B88="Abia",B88="Anambra",B88="Ebonyi",B88="Enugu",B88="Imo"),"South East",
    OR(B88="Akwa Ibom",B88="Bayelsa",B88="Cross River",B88="Delta",B88="Edo",B88="Rivers"),"South South",
    OR(B88="Ekiti",B88="Lagos",B88="Ogun",B88="Ondo",B88="Osun",B88="Oyo"),"South West"
)</f>
        <v>North Central</v>
      </c>
      <c r="H88">
        <f t="shared" si="1"/>
        <v>2000</v>
      </c>
    </row>
    <row r="89" spans="1:8" ht="15" thickBot="1" x14ac:dyDescent="0.4">
      <c r="A89" s="3">
        <v>2022</v>
      </c>
      <c r="B89" s="3" t="s">
        <v>6</v>
      </c>
      <c r="C89" s="3">
        <v>2700</v>
      </c>
      <c r="D89" s="3">
        <v>2700</v>
      </c>
      <c r="E89" s="4">
        <v>500</v>
      </c>
      <c r="F89" s="4">
        <v>2200</v>
      </c>
      <c r="G89" t="str" cm="1">
        <f t="array" ref="G89">_xlfn.IFS(
    OR(B89="Benue",B89="Kogi",B89="Kwara",B89="Nasarawa",B89="Niger",B89="Plateau",B89="FCT"),"North Central",
    OR(B89="Adamawa",B89="Bauchi",B89="Borno",B89="Gombe",B89="Taraba",B89="Yobe"),"North East",
    OR(B89="Kaduna",B89="Kano",B89="Katsina",B89="Kebbi",B89="Sokoto",B89="Zamfara","Jigawa"),"North West",
    OR(B89="Abia",B89="Anambra",B89="Ebonyi",B89="Enugu",B89="Imo"),"South East",
    OR(B89="Akwa Ibom",B89="Bayelsa",B89="Cross River",B89="Delta",B89="Edo",B89="Rivers"),"South South",
    OR(B89="Ekiti",B89="Lagos",B89="Ogun",B89="Ondo",B89="Osun",B89="Oyo"),"South West"
)</f>
        <v>North West</v>
      </c>
      <c r="H89">
        <f t="shared" si="1"/>
        <v>2700</v>
      </c>
    </row>
    <row r="90" spans="1:8" ht="15" thickBot="1" x14ac:dyDescent="0.4">
      <c r="A90" s="3">
        <v>2022</v>
      </c>
      <c r="B90" s="3" t="s">
        <v>23</v>
      </c>
      <c r="C90" s="3">
        <v>26</v>
      </c>
      <c r="D90" s="3">
        <v>26</v>
      </c>
      <c r="E90" s="4">
        <v>3</v>
      </c>
      <c r="F90" s="4">
        <v>23</v>
      </c>
      <c r="G90" t="str" cm="1">
        <f t="array" ref="G90">_xlfn.IFS(
    OR(B90="Benue",B90="Kogi",B90="Kwara",B90="Nasarawa",B90="Niger",B90="Plateau",B90="FCT"),"North Central",
    OR(B90="Adamawa",B90="Bauchi",B90="Borno",B90="Gombe",B90="Taraba",B90="Yobe"),"North East",
    OR(B90="Kaduna",B90="Kano",B90="Katsina",B90="Kebbi",B90="Sokoto",B90="Zamfara","Jigawa"),"North West",
    OR(B90="Abia",B90="Anambra",B90="Ebonyi",B90="Enugu",B90="Imo"),"South East",
    OR(B90="Akwa Ibom",B90="Bayelsa",B90="Cross River",B90="Delta",B90="Edo",B90="Rivers"),"South South",
    OR(B90="Ekiti",B90="Lagos",B90="Ogun",B90="Ondo",B90="Osun",B90="Oyo"),"South West"
)</f>
        <v>North East</v>
      </c>
      <c r="H90">
        <f t="shared" si="1"/>
        <v>26</v>
      </c>
    </row>
    <row r="91" spans="1:8" ht="15" thickBot="1" x14ac:dyDescent="0.4">
      <c r="A91" s="3">
        <v>2021</v>
      </c>
      <c r="B91" s="3" t="s">
        <v>6</v>
      </c>
      <c r="C91" s="3">
        <v>23</v>
      </c>
      <c r="D91" s="3">
        <v>23</v>
      </c>
      <c r="E91" s="4">
        <v>10</v>
      </c>
      <c r="F91" s="4">
        <v>13</v>
      </c>
      <c r="G91" t="str" cm="1">
        <f t="array" ref="G91">_xlfn.IFS(
    OR(B91="Benue",B91="Kogi",B91="Kwara",B91="Nasarawa",B91="Niger",B91="Plateau",B91="FCT"),"North Central",
    OR(B91="Adamawa",B91="Bauchi",B91="Borno",B91="Gombe",B91="Taraba",B91="Yobe"),"North East",
    OR(B91="Kaduna",B91="Kano",B91="Katsina",B91="Kebbi",B91="Sokoto",B91="Zamfara","Jigawa"),"North West",
    OR(B91="Abia",B91="Anambra",B91="Ebonyi",B91="Enugu",B91="Imo"),"South East",
    OR(B91="Akwa Ibom",B91="Bayelsa",B91="Cross River",B91="Delta",B91="Edo",B91="Rivers"),"South South",
    OR(B91="Ekiti",B91="Lagos",B91="Ogun",B91="Ondo",B91="Osun",B91="Oyo"),"South West"
)</f>
        <v>North West</v>
      </c>
      <c r="H91">
        <f t="shared" si="1"/>
        <v>23</v>
      </c>
    </row>
    <row r="92" spans="1:8" ht="15" thickBot="1" x14ac:dyDescent="0.4">
      <c r="A92" s="3">
        <v>2021</v>
      </c>
      <c r="B92" s="3" t="s">
        <v>6</v>
      </c>
      <c r="C92" s="3">
        <v>220</v>
      </c>
      <c r="D92" s="3">
        <v>220</v>
      </c>
      <c r="E92" s="4">
        <v>100</v>
      </c>
      <c r="F92" s="4">
        <v>120</v>
      </c>
      <c r="G92" t="str" cm="1">
        <f t="array" ref="G92">_xlfn.IFS(
    OR(B92="Benue",B92="Kogi",B92="Kwara",B92="Nasarawa",B92="Niger",B92="Plateau",B92="FCT"),"North Central",
    OR(B92="Adamawa",B92="Bauchi",B92="Borno",B92="Gombe",B92="Taraba",B92="Yobe"),"North East",
    OR(B92="Kaduna",B92="Kano",B92="Katsina",B92="Kebbi",B92="Sokoto",B92="Zamfara","Jigawa"),"North West",
    OR(B92="Abia",B92="Anambra",B92="Ebonyi",B92="Enugu",B92="Imo"),"South East",
    OR(B92="Akwa Ibom",B92="Bayelsa",B92="Cross River",B92="Delta",B92="Edo",B92="Rivers"),"South South",
    OR(B92="Ekiti",B92="Lagos",B92="Ogun",B92="Ondo",B92="Osun",B92="Oyo"),"South West"
)</f>
        <v>North West</v>
      </c>
      <c r="H92">
        <f t="shared" si="1"/>
        <v>220</v>
      </c>
    </row>
    <row r="93" spans="1:8" ht="15" thickBot="1" x14ac:dyDescent="0.4">
      <c r="A93" s="3">
        <v>2021</v>
      </c>
      <c r="B93" s="3" t="s">
        <v>6</v>
      </c>
      <c r="C93" s="3">
        <v>1000</v>
      </c>
      <c r="D93" s="3">
        <v>1000</v>
      </c>
      <c r="E93" s="4">
        <v>400</v>
      </c>
      <c r="F93" s="4">
        <v>600</v>
      </c>
      <c r="G93" t="str" cm="1">
        <f t="array" ref="G93">_xlfn.IFS(
    OR(B93="Benue",B93="Kogi",B93="Kwara",B93="Nasarawa",B93="Niger",B93="Plateau",B93="FCT"),"North Central",
    OR(B93="Adamawa",B93="Bauchi",B93="Borno",B93="Gombe",B93="Taraba",B93="Yobe"),"North East",
    OR(B93="Kaduna",B93="Kano",B93="Katsina",B93="Kebbi",B93="Sokoto",B93="Zamfara","Jigawa"),"North West",
    OR(B93="Abia",B93="Anambra",B93="Ebonyi",B93="Enugu",B93="Imo"),"South East",
    OR(B93="Akwa Ibom",B93="Bayelsa",B93="Cross River",B93="Delta",B93="Edo",B93="Rivers"),"South South",
    OR(B93="Ekiti",B93="Lagos",B93="Ogun",B93="Ondo",B93="Osun",B93="Oyo"),"South West"
)</f>
        <v>North West</v>
      </c>
      <c r="H93">
        <f t="shared" si="1"/>
        <v>1000</v>
      </c>
    </row>
    <row r="94" spans="1:8" ht="15" thickBot="1" x14ac:dyDescent="0.4">
      <c r="A94" s="3">
        <v>2021</v>
      </c>
      <c r="B94" s="3" t="s">
        <v>6</v>
      </c>
      <c r="C94" s="3">
        <v>900</v>
      </c>
      <c r="D94" s="3">
        <v>900</v>
      </c>
      <c r="E94" s="4">
        <v>500</v>
      </c>
      <c r="F94" s="4">
        <v>400</v>
      </c>
      <c r="G94" t="str" cm="1">
        <f t="array" ref="G94">_xlfn.IFS(
    OR(B94="Benue",B94="Kogi",B94="Kwara",B94="Nasarawa",B94="Niger",B94="Plateau",B94="FCT"),"North Central",
    OR(B94="Adamawa",B94="Bauchi",B94="Borno",B94="Gombe",B94="Taraba",B94="Yobe"),"North East",
    OR(B94="Kaduna",B94="Kano",B94="Katsina",B94="Kebbi",B94="Sokoto",B94="Zamfara","Jigawa"),"North West",
    OR(B94="Abia",B94="Anambra",B94="Ebonyi",B94="Enugu",B94="Imo"),"South East",
    OR(B94="Akwa Ibom",B94="Bayelsa",B94="Cross River",B94="Delta",B94="Edo",B94="Rivers"),"South South",
    OR(B94="Ekiti",B94="Lagos",B94="Ogun",B94="Ondo",B94="Osun",B94="Oyo"),"South West"
)</f>
        <v>North West</v>
      </c>
      <c r="H94">
        <f t="shared" si="1"/>
        <v>900</v>
      </c>
    </row>
    <row r="95" spans="1:8" ht="15" thickBot="1" x14ac:dyDescent="0.4">
      <c r="A95" s="3">
        <v>2021</v>
      </c>
      <c r="B95" s="3" t="s">
        <v>6</v>
      </c>
      <c r="C95" s="3">
        <v>700</v>
      </c>
      <c r="D95" s="3">
        <v>700</v>
      </c>
      <c r="E95" s="4">
        <v>250</v>
      </c>
      <c r="F95" s="4">
        <v>450</v>
      </c>
      <c r="G95" t="str" cm="1">
        <f t="array" ref="G95">_xlfn.IFS(
    OR(B95="Benue",B95="Kogi",B95="Kwara",B95="Nasarawa",B95="Niger",B95="Plateau",B95="FCT"),"North Central",
    OR(B95="Adamawa",B95="Bauchi",B95="Borno",B95="Gombe",B95="Taraba",B95="Yobe"),"North East",
    OR(B95="Kaduna",B95="Kano",B95="Katsina",B95="Kebbi",B95="Sokoto",B95="Zamfara","Jigawa"),"North West",
    OR(B95="Abia",B95="Anambra",B95="Ebonyi",B95="Enugu",B95="Imo"),"South East",
    OR(B95="Akwa Ibom",B95="Bayelsa",B95="Cross River",B95="Delta",B95="Edo",B95="Rivers"),"South South",
    OR(B95="Ekiti",B95="Lagos",B95="Ogun",B95="Ondo",B95="Osun",B95="Oyo"),"South West"
)</f>
        <v>North West</v>
      </c>
      <c r="H95">
        <f t="shared" si="1"/>
        <v>700</v>
      </c>
    </row>
    <row r="96" spans="1:8" ht="15" thickBot="1" x14ac:dyDescent="0.4">
      <c r="A96" s="3">
        <v>2021</v>
      </c>
      <c r="B96" s="3" t="s">
        <v>6</v>
      </c>
      <c r="C96" s="3">
        <v>700</v>
      </c>
      <c r="D96" s="3">
        <v>700</v>
      </c>
      <c r="E96" s="4">
        <v>400</v>
      </c>
      <c r="F96" s="4">
        <v>300</v>
      </c>
      <c r="G96" t="str" cm="1">
        <f t="array" ref="G96">_xlfn.IFS(
    OR(B96="Benue",B96="Kogi",B96="Kwara",B96="Nasarawa",B96="Niger",B96="Plateau",B96="FCT"),"North Central",
    OR(B96="Adamawa",B96="Bauchi",B96="Borno",B96="Gombe",B96="Taraba",B96="Yobe"),"North East",
    OR(B96="Kaduna",B96="Kano",B96="Katsina",B96="Kebbi",B96="Sokoto",B96="Zamfara","Jigawa"),"North West",
    OR(B96="Abia",B96="Anambra",B96="Ebonyi",B96="Enugu",B96="Imo"),"South East",
    OR(B96="Akwa Ibom",B96="Bayelsa",B96="Cross River",B96="Delta",B96="Edo",B96="Rivers"),"South South",
    OR(B96="Ekiti",B96="Lagos",B96="Ogun",B96="Ondo",B96="Osun",B96="Oyo"),"South West"
)</f>
        <v>North West</v>
      </c>
      <c r="H96">
        <f t="shared" si="1"/>
        <v>700</v>
      </c>
    </row>
    <row r="97" spans="1:8" ht="15" thickBot="1" x14ac:dyDescent="0.4">
      <c r="A97" s="3">
        <v>2021</v>
      </c>
      <c r="B97" s="3" t="s">
        <v>6</v>
      </c>
      <c r="C97" s="3">
        <v>2918</v>
      </c>
      <c r="D97" s="3">
        <v>2918</v>
      </c>
      <c r="E97" s="4">
        <v>718</v>
      </c>
      <c r="F97" s="4">
        <v>2200</v>
      </c>
      <c r="G97" t="str" cm="1">
        <f t="array" ref="G97">_xlfn.IFS(
    OR(B97="Benue",B97="Kogi",B97="Kwara",B97="Nasarawa",B97="Niger",B97="Plateau",B97="FCT"),"North Central",
    OR(B97="Adamawa",B97="Bauchi",B97="Borno",B97="Gombe",B97="Taraba",B97="Yobe"),"North East",
    OR(B97="Kaduna",B97="Kano",B97="Katsina",B97="Kebbi",B97="Sokoto",B97="Zamfara","Jigawa"),"North West",
    OR(B97="Abia",B97="Anambra",B97="Ebonyi",B97="Enugu",B97="Imo"),"South East",
    OR(B97="Akwa Ibom",B97="Bayelsa",B97="Cross River",B97="Delta",B97="Edo",B97="Rivers"),"South South",
    OR(B97="Ekiti",B97="Lagos",B97="Ogun",B97="Ondo",B97="Osun",B97="Oyo"),"South West"
)</f>
        <v>North West</v>
      </c>
      <c r="H97">
        <f t="shared" si="1"/>
        <v>2918</v>
      </c>
    </row>
    <row r="98" spans="1:8" ht="15" thickBot="1" x14ac:dyDescent="0.4">
      <c r="A98" s="3">
        <v>2021</v>
      </c>
      <c r="B98" s="3" t="s">
        <v>6</v>
      </c>
      <c r="C98" s="3">
        <v>2875</v>
      </c>
      <c r="D98" s="3">
        <v>2875</v>
      </c>
      <c r="E98" s="4">
        <v>820</v>
      </c>
      <c r="F98" s="4">
        <v>2055</v>
      </c>
      <c r="G98" t="str" cm="1">
        <f t="array" ref="G98">_xlfn.IFS(
    OR(B98="Benue",B98="Kogi",B98="Kwara",B98="Nasarawa",B98="Niger",B98="Plateau",B98="FCT"),"North Central",
    OR(B98="Adamawa",B98="Bauchi",B98="Borno",B98="Gombe",B98="Taraba",B98="Yobe"),"North East",
    OR(B98="Kaduna",B98="Kano",B98="Katsina",B98="Kebbi",B98="Sokoto",B98="Zamfara","Jigawa"),"North West",
    OR(B98="Abia",B98="Anambra",B98="Ebonyi",B98="Enugu",B98="Imo"),"South East",
    OR(B98="Akwa Ibom",B98="Bayelsa",B98="Cross River",B98="Delta",B98="Edo",B98="Rivers"),"South South",
    OR(B98="Ekiti",B98="Lagos",B98="Ogun",B98="Ondo",B98="Osun",B98="Oyo"),"South West"
)</f>
        <v>North West</v>
      </c>
      <c r="H98">
        <f t="shared" si="1"/>
        <v>2875</v>
      </c>
    </row>
    <row r="99" spans="1:8" ht="15" thickBot="1" x14ac:dyDescent="0.4">
      <c r="A99" s="3">
        <v>2021</v>
      </c>
      <c r="B99" s="3" t="s">
        <v>6</v>
      </c>
      <c r="C99" s="3">
        <v>2912</v>
      </c>
      <c r="D99" s="3">
        <v>2912</v>
      </c>
      <c r="E99" s="4">
        <v>59</v>
      </c>
      <c r="F99" s="4">
        <v>2853</v>
      </c>
      <c r="G99" t="str" cm="1">
        <f t="array" ref="G99">_xlfn.IFS(
    OR(B99="Benue",B99="Kogi",B99="Kwara",B99="Nasarawa",B99="Niger",B99="Plateau",B99="FCT"),"North Central",
    OR(B99="Adamawa",B99="Bauchi",B99="Borno",B99="Gombe",B99="Taraba",B99="Yobe"),"North East",
    OR(B99="Kaduna",B99="Kano",B99="Katsina",B99="Kebbi",B99="Sokoto",B99="Zamfara","Jigawa"),"North West",
    OR(B99="Abia",B99="Anambra",B99="Ebonyi",B99="Enugu",B99="Imo"),"South East",
    OR(B99="Akwa Ibom",B99="Bayelsa",B99="Cross River",B99="Delta",B99="Edo",B99="Rivers"),"South South",
    OR(B99="Ekiti",B99="Lagos",B99="Ogun",B99="Ondo",B99="Osun",B99="Oyo"),"South West"
)</f>
        <v>North West</v>
      </c>
      <c r="H99">
        <f t="shared" si="1"/>
        <v>2912</v>
      </c>
    </row>
    <row r="100" spans="1:8" ht="15" thickBot="1" x14ac:dyDescent="0.4">
      <c r="A100" s="3">
        <v>2021</v>
      </c>
      <c r="B100" s="3" t="s">
        <v>6</v>
      </c>
      <c r="C100" s="3">
        <v>2798</v>
      </c>
      <c r="D100" s="3">
        <v>2798</v>
      </c>
      <c r="E100" s="4">
        <v>134</v>
      </c>
      <c r="F100" s="4">
        <v>2664</v>
      </c>
      <c r="G100" t="str" cm="1">
        <f t="array" ref="G100">_xlfn.IFS(
    OR(B100="Benue",B100="Kogi",B100="Kwara",B100="Nasarawa",B100="Niger",B100="Plateau",B100="FCT"),"North Central",
    OR(B100="Adamawa",B100="Bauchi",B100="Borno",B100="Gombe",B100="Taraba",B100="Yobe"),"North East",
    OR(B100="Kaduna",B100="Kano",B100="Katsina",B100="Kebbi",B100="Sokoto",B100="Zamfara","Jigawa"),"North West",
    OR(B100="Abia",B100="Anambra",B100="Ebonyi",B100="Enugu",B100="Imo"),"South East",
    OR(B100="Akwa Ibom",B100="Bayelsa",B100="Cross River",B100="Delta",B100="Edo",B100="Rivers"),"South South",
    OR(B100="Ekiti",B100="Lagos",B100="Ogun",B100="Ondo",B100="Osun",B100="Oyo"),"South West"
)</f>
        <v>North West</v>
      </c>
      <c r="H100">
        <f t="shared" si="1"/>
        <v>2798</v>
      </c>
    </row>
    <row r="101" spans="1:8" ht="15" thickBot="1" x14ac:dyDescent="0.4">
      <c r="A101" s="3">
        <v>2021</v>
      </c>
      <c r="B101" s="3" t="s">
        <v>6</v>
      </c>
      <c r="C101" s="3">
        <v>1800</v>
      </c>
      <c r="D101" s="3">
        <v>1800</v>
      </c>
      <c r="E101" s="4">
        <v>198</v>
      </c>
      <c r="F101" s="4">
        <v>1602</v>
      </c>
      <c r="G101" t="str" cm="1">
        <f t="array" ref="G101">_xlfn.IFS(
    OR(B101="Benue",B101="Kogi",B101="Kwara",B101="Nasarawa",B101="Niger",B101="Plateau",B101="FCT"),"North Central",
    OR(B101="Adamawa",B101="Bauchi",B101="Borno",B101="Gombe",B101="Taraba",B101="Yobe"),"North East",
    OR(B101="Kaduna",B101="Kano",B101="Katsina",B101="Kebbi",B101="Sokoto",B101="Zamfara","Jigawa"),"North West",
    OR(B101="Abia",B101="Anambra",B101="Ebonyi",B101="Enugu",B101="Imo"),"South East",
    OR(B101="Akwa Ibom",B101="Bayelsa",B101="Cross River",B101="Delta",B101="Edo",B101="Rivers"),"South South",
    OR(B101="Ekiti",B101="Lagos",B101="Ogun",B101="Ondo",B101="Osun",B101="Oyo"),"South West"
)</f>
        <v>North West</v>
      </c>
      <c r="H101">
        <f t="shared" si="1"/>
        <v>1800</v>
      </c>
    </row>
    <row r="102" spans="1:8" ht="15" thickBot="1" x14ac:dyDescent="0.4">
      <c r="A102" s="3">
        <v>2021</v>
      </c>
      <c r="B102" s="3" t="s">
        <v>6</v>
      </c>
      <c r="C102" s="3">
        <v>1200</v>
      </c>
      <c r="D102" s="3">
        <v>1200</v>
      </c>
      <c r="E102" s="4">
        <v>120</v>
      </c>
      <c r="F102" s="4">
        <v>1080</v>
      </c>
      <c r="G102" t="str" cm="1">
        <f t="array" ref="G102">_xlfn.IFS(
    OR(B102="Benue",B102="Kogi",B102="Kwara",B102="Nasarawa",B102="Niger",B102="Plateau",B102="FCT"),"North Central",
    OR(B102="Adamawa",B102="Bauchi",B102="Borno",B102="Gombe",B102="Taraba",B102="Yobe"),"North East",
    OR(B102="Kaduna",B102="Kano",B102="Katsina",B102="Kebbi",B102="Sokoto",B102="Zamfara","Jigawa"),"North West",
    OR(B102="Abia",B102="Anambra",B102="Ebonyi",B102="Enugu",B102="Imo"),"South East",
    OR(B102="Akwa Ibom",B102="Bayelsa",B102="Cross River",B102="Delta",B102="Edo",B102="Rivers"),"South South",
    OR(B102="Ekiti",B102="Lagos",B102="Ogun",B102="Ondo",B102="Osun",B102="Oyo"),"South West"
)</f>
        <v>North West</v>
      </c>
      <c r="H102">
        <f t="shared" si="1"/>
        <v>1200</v>
      </c>
    </row>
    <row r="103" spans="1:8" ht="15" thickBot="1" x14ac:dyDescent="0.4">
      <c r="A103" s="3">
        <v>2021</v>
      </c>
      <c r="B103" s="3" t="s">
        <v>6</v>
      </c>
      <c r="C103" s="3">
        <v>194</v>
      </c>
      <c r="D103" s="3">
        <v>194</v>
      </c>
      <c r="E103" s="4">
        <v>14</v>
      </c>
      <c r="F103" s="4">
        <v>180</v>
      </c>
      <c r="G103" t="str" cm="1">
        <f t="array" ref="G103">_xlfn.IFS(
    OR(B103="Benue",B103="Kogi",B103="Kwara",B103="Nasarawa",B103="Niger",B103="Plateau",B103="FCT"),"North Central",
    OR(B103="Adamawa",B103="Bauchi",B103="Borno",B103="Gombe",B103="Taraba",B103="Yobe"),"North East",
    OR(B103="Kaduna",B103="Kano",B103="Katsina",B103="Kebbi",B103="Sokoto",B103="Zamfara","Jigawa"),"North West",
    OR(B103="Abia",B103="Anambra",B103="Ebonyi",B103="Enugu",B103="Imo"),"South East",
    OR(B103="Akwa Ibom",B103="Bayelsa",B103="Cross River",B103="Delta",B103="Edo",B103="Rivers"),"South South",
    OR(B103="Ekiti",B103="Lagos",B103="Ogun",B103="Ondo",B103="Osun",B103="Oyo"),"South West"
)</f>
        <v>North West</v>
      </c>
      <c r="H103">
        <f t="shared" si="1"/>
        <v>194</v>
      </c>
    </row>
    <row r="104" spans="1:8" ht="15" thickBot="1" x14ac:dyDescent="0.4">
      <c r="A104" s="3">
        <v>2021</v>
      </c>
      <c r="B104" s="3" t="s">
        <v>14</v>
      </c>
      <c r="C104" s="3">
        <v>400</v>
      </c>
      <c r="D104" s="3">
        <v>400</v>
      </c>
      <c r="E104" s="4">
        <v>80</v>
      </c>
      <c r="F104" s="4">
        <v>320</v>
      </c>
      <c r="G104" t="str" cm="1">
        <f t="array" ref="G104">_xlfn.IFS(
    OR(B104="Benue",B104="Kogi",B104="Kwara",B104="Nasarawa",B104="Niger",B104="Plateau",B104="FCT"),"North Central",
    OR(B104="Adamawa",B104="Bauchi",B104="Borno",B104="Gombe",B104="Taraba",B104="Yobe"),"North East",
    OR(B104="Kaduna",B104="Kano",B104="Katsina",B104="Kebbi",B104="Sokoto",B104="Zamfara","Jigawa"),"North West",
    OR(B104="Abia",B104="Anambra",B104="Ebonyi",B104="Enugu",B104="Imo"),"South East",
    OR(B104="Akwa Ibom",B104="Bayelsa",B104="Cross River",B104="Delta",B104="Edo",B104="Rivers"),"South South",
    OR(B104="Ekiti",B104="Lagos",B104="Ogun",B104="Ondo",B104="Osun",B104="Oyo"),"South West"
)</f>
        <v>North East</v>
      </c>
      <c r="H104">
        <f t="shared" si="1"/>
        <v>400</v>
      </c>
    </row>
    <row r="105" spans="1:8" ht="15" thickBot="1" x14ac:dyDescent="0.4">
      <c r="A105" s="3">
        <v>2021</v>
      </c>
      <c r="B105" s="3" t="s">
        <v>6</v>
      </c>
      <c r="C105" s="3">
        <v>1800</v>
      </c>
      <c r="D105" s="3">
        <v>1800</v>
      </c>
      <c r="E105" s="4">
        <v>100</v>
      </c>
      <c r="F105" s="4">
        <v>1700</v>
      </c>
      <c r="G105" t="str" cm="1">
        <f t="array" ref="G105">_xlfn.IFS(
    OR(B105="Benue",B105="Kogi",B105="Kwara",B105="Nasarawa",B105="Niger",B105="Plateau",B105="FCT"),"North Central",
    OR(B105="Adamawa",B105="Bauchi",B105="Borno",B105="Gombe",B105="Taraba",B105="Yobe"),"North East",
    OR(B105="Kaduna",B105="Kano",B105="Katsina",B105="Kebbi",B105="Sokoto",B105="Zamfara","Jigawa"),"North West",
    OR(B105="Abia",B105="Anambra",B105="Ebonyi",B105="Enugu",B105="Imo"),"South East",
    OR(B105="Akwa Ibom",B105="Bayelsa",B105="Cross River",B105="Delta",B105="Edo",B105="Rivers"),"South South",
    OR(B105="Ekiti",B105="Lagos",B105="Ogun",B105="Ondo",B105="Osun",B105="Oyo"),"South West"
)</f>
        <v>North West</v>
      </c>
      <c r="H105">
        <f t="shared" si="1"/>
        <v>1800</v>
      </c>
    </row>
    <row r="106" spans="1:8" ht="15" thickBot="1" x14ac:dyDescent="0.4">
      <c r="A106" s="3">
        <v>2021</v>
      </c>
      <c r="B106" s="3" t="s">
        <v>6</v>
      </c>
      <c r="C106" s="3">
        <v>200000</v>
      </c>
      <c r="D106" s="3">
        <v>200000</v>
      </c>
      <c r="E106" s="4">
        <v>9828</v>
      </c>
      <c r="F106" s="4">
        <v>190172</v>
      </c>
      <c r="G106" t="str" cm="1">
        <f t="array" ref="G106">_xlfn.IFS(
    OR(B106="Benue",B106="Kogi",B106="Kwara",B106="Nasarawa",B106="Niger",B106="Plateau",B106="FCT"),"North Central",
    OR(B106="Adamawa",B106="Bauchi",B106="Borno",B106="Gombe",B106="Taraba",B106="Yobe"),"North East",
    OR(B106="Kaduna",B106="Kano",B106="Katsina",B106="Kebbi",B106="Sokoto",B106="Zamfara","Jigawa"),"North West",
    OR(B106="Abia",B106="Anambra",B106="Ebonyi",B106="Enugu",B106="Imo"),"South East",
    OR(B106="Akwa Ibom",B106="Bayelsa",B106="Cross River",B106="Delta",B106="Edo",B106="Rivers"),"South South",
    OR(B106="Ekiti",B106="Lagos",B106="Ogun",B106="Ondo",B106="Osun",B106="Oyo"),"South West"
)</f>
        <v>North West</v>
      </c>
      <c r="H106">
        <f t="shared" si="1"/>
        <v>200000</v>
      </c>
    </row>
    <row r="107" spans="1:8" ht="15" thickBot="1" x14ac:dyDescent="0.4">
      <c r="A107" s="3">
        <v>2021</v>
      </c>
      <c r="B107" s="3" t="s">
        <v>6</v>
      </c>
      <c r="C107" s="3">
        <v>42</v>
      </c>
      <c r="D107" s="3">
        <v>42</v>
      </c>
      <c r="E107" s="4">
        <v>8</v>
      </c>
      <c r="F107" s="4">
        <v>34</v>
      </c>
      <c r="G107" t="str" cm="1">
        <f t="array" ref="G107">_xlfn.IFS(
    OR(B107="Benue",B107="Kogi",B107="Kwara",B107="Nasarawa",B107="Niger",B107="Plateau",B107="FCT"),"North Central",
    OR(B107="Adamawa",B107="Bauchi",B107="Borno",B107="Gombe",B107="Taraba",B107="Yobe"),"North East",
    OR(B107="Kaduna",B107="Kano",B107="Katsina",B107="Kebbi",B107="Sokoto",B107="Zamfara","Jigawa"),"North West",
    OR(B107="Abia",B107="Anambra",B107="Ebonyi",B107="Enugu",B107="Imo"),"South East",
    OR(B107="Akwa Ibom",B107="Bayelsa",B107="Cross River",B107="Delta",B107="Edo",B107="Rivers"),"South South",
    OR(B107="Ekiti",B107="Lagos",B107="Ogun",B107="Ondo",B107="Osun",B107="Oyo"),"South West"
)</f>
        <v>North West</v>
      </c>
      <c r="H107">
        <f t="shared" si="1"/>
        <v>42</v>
      </c>
    </row>
    <row r="108" spans="1:8" ht="15" thickBot="1" x14ac:dyDescent="0.4">
      <c r="A108" s="3">
        <v>2021</v>
      </c>
      <c r="B108" s="3" t="s">
        <v>6</v>
      </c>
      <c r="C108" s="3">
        <v>2500</v>
      </c>
      <c r="D108" s="3">
        <v>2500</v>
      </c>
      <c r="E108" s="4">
        <v>100</v>
      </c>
      <c r="F108" s="4">
        <v>2400</v>
      </c>
      <c r="G108" t="str" cm="1">
        <f t="array" ref="G108">_xlfn.IFS(
    OR(B108="Benue",B108="Kogi",B108="Kwara",B108="Nasarawa",B108="Niger",B108="Plateau",B108="FCT"),"North Central",
    OR(B108="Adamawa",B108="Bauchi",B108="Borno",B108="Gombe",B108="Taraba",B108="Yobe"),"North East",
    OR(B108="Kaduna",B108="Kano",B108="Katsina",B108="Kebbi",B108="Sokoto",B108="Zamfara","Jigawa"),"North West",
    OR(B108="Abia",B108="Anambra",B108="Ebonyi",B108="Enugu",B108="Imo"),"South East",
    OR(B108="Akwa Ibom",B108="Bayelsa",B108="Cross River",B108="Delta",B108="Edo",B108="Rivers"),"South South",
    OR(B108="Ekiti",B108="Lagos",B108="Ogun",B108="Ondo",B108="Osun",B108="Oyo"),"South West"
)</f>
        <v>North West</v>
      </c>
      <c r="H108">
        <f t="shared" si="1"/>
        <v>2500</v>
      </c>
    </row>
    <row r="109" spans="1:8" ht="15" thickBot="1" x14ac:dyDescent="0.4">
      <c r="A109" s="3">
        <v>2020</v>
      </c>
      <c r="B109" s="3" t="s">
        <v>6</v>
      </c>
      <c r="C109" s="3">
        <v>63</v>
      </c>
      <c r="D109" s="3">
        <v>0</v>
      </c>
      <c r="E109" s="4">
        <v>61</v>
      </c>
      <c r="F109" s="4">
        <v>2</v>
      </c>
      <c r="G109" t="str" cm="1">
        <f t="array" ref="G109">_xlfn.IFS(
    OR(B109="Benue",B109="Kogi",B109="Kwara",B109="Nasarawa",B109="Niger",B109="Plateau",B109="FCT"),"North Central",
    OR(B109="Adamawa",B109="Bauchi",B109="Borno",B109="Gombe",B109="Taraba",B109="Yobe"),"North East",
    OR(B109="Kaduna",B109="Kano",B109="Katsina",B109="Kebbi",B109="Sokoto",B109="Zamfara","Jigawa"),"North West",
    OR(B109="Abia",B109="Anambra",B109="Ebonyi",B109="Enugu",B109="Imo"),"South East",
    OR(B109="Akwa Ibom",B109="Bayelsa",B109="Cross River",B109="Delta",B109="Edo",B109="Rivers"),"South South",
    OR(B109="Ekiti",B109="Lagos",B109="Ogun",B109="Ondo",B109="Osun",B109="Oyo"),"South West"
)</f>
        <v>North West</v>
      </c>
      <c r="H109">
        <f t="shared" si="1"/>
        <v>63</v>
      </c>
    </row>
    <row r="110" spans="1:8" ht="15" thickBot="1" x14ac:dyDescent="0.4">
      <c r="A110" s="3">
        <v>2021</v>
      </c>
      <c r="B110" s="3" t="s">
        <v>6</v>
      </c>
      <c r="C110" s="3">
        <v>3675</v>
      </c>
      <c r="D110" s="3">
        <v>268</v>
      </c>
      <c r="E110" s="4">
        <v>153</v>
      </c>
      <c r="F110" s="4">
        <v>3522</v>
      </c>
      <c r="G110" t="str" cm="1">
        <f t="array" ref="G110">_xlfn.IFS(
    OR(B110="Benue",B110="Kogi",B110="Kwara",B110="Nasarawa",B110="Niger",B110="Plateau",B110="FCT"),"North Central",
    OR(B110="Adamawa",B110="Bauchi",B110="Borno",B110="Gombe",B110="Taraba",B110="Yobe"),"North East",
    OR(B110="Kaduna",B110="Kano",B110="Katsina",B110="Kebbi",B110="Sokoto",B110="Zamfara","Jigawa"),"North West",
    OR(B110="Abia",B110="Anambra",B110="Ebonyi",B110="Enugu",B110="Imo"),"South East",
    OR(B110="Akwa Ibom",B110="Bayelsa",B110="Cross River",B110="Delta",B110="Edo",B110="Rivers"),"South South",
    OR(B110="Ekiti",B110="Lagos",B110="Ogun",B110="Ondo",B110="Osun",B110="Oyo"),"South West"
)</f>
        <v>North West</v>
      </c>
      <c r="H110">
        <f t="shared" si="1"/>
        <v>3675</v>
      </c>
    </row>
    <row r="111" spans="1:8" ht="15" thickBot="1" x14ac:dyDescent="0.4">
      <c r="A111" s="3">
        <v>2021</v>
      </c>
      <c r="B111" s="3" t="s">
        <v>24</v>
      </c>
      <c r="C111" s="3">
        <v>7505</v>
      </c>
      <c r="D111" s="3">
        <v>600</v>
      </c>
      <c r="E111" s="4">
        <v>416</v>
      </c>
      <c r="F111" s="4">
        <v>7089</v>
      </c>
      <c r="G111" t="str" cm="1">
        <f t="array" ref="G111">_xlfn.IFS(
    OR(B111="Benue",B111="Kogi",B111="Kwara",B111="Nasarawa",B111="Niger",B111="Plateau",B111="FCT"),"North Central",
    OR(B111="Adamawa",B111="Bauchi",B111="Borno",B111="Gombe",B111="Taraba",B111="Yobe"),"North East",
    OR(B111="Kaduna",B111="Kano",B111="Katsina",B111="Kebbi",B111="Sokoto",B111="Zamfara","Jigawa"),"North West",
    OR(B111="Abia",B111="Anambra",B111="Ebonyi",B111="Enugu",B111="Imo"),"South East",
    OR(B111="Akwa Ibom",B111="Bayelsa",B111="Cross River",B111="Delta",B111="Edo",B111="Rivers"),"South South",
    OR(B111="Ekiti",B111="Lagos",B111="Ogun",B111="Ondo",B111="Osun",B111="Oyo"),"South West"
)</f>
        <v>North West</v>
      </c>
      <c r="H111">
        <f t="shared" si="1"/>
        <v>7505</v>
      </c>
    </row>
    <row r="112" spans="1:8" ht="15" thickBot="1" x14ac:dyDescent="0.4">
      <c r="A112" s="3">
        <v>2021</v>
      </c>
      <c r="B112" s="3" t="s">
        <v>14</v>
      </c>
      <c r="C112" s="3">
        <v>2446</v>
      </c>
      <c r="D112" s="3">
        <v>400</v>
      </c>
      <c r="E112" s="4">
        <v>126</v>
      </c>
      <c r="F112" s="4">
        <v>2320</v>
      </c>
      <c r="G112" t="str" cm="1">
        <f t="array" ref="G112">_xlfn.IFS(
    OR(B112="Benue",B112="Kogi",B112="Kwara",B112="Nasarawa",B112="Niger",B112="Plateau",B112="FCT"),"North Central",
    OR(B112="Adamawa",B112="Bauchi",B112="Borno",B112="Gombe",B112="Taraba",B112="Yobe"),"North East",
    OR(B112="Kaduna",B112="Kano",B112="Katsina",B112="Kebbi",B112="Sokoto",B112="Zamfara","Jigawa"),"North West",
    OR(B112="Abia",B112="Anambra",B112="Ebonyi",B112="Enugu",B112="Imo"),"South East",
    OR(B112="Akwa Ibom",B112="Bayelsa",B112="Cross River",B112="Delta",B112="Edo",B112="Rivers"),"South South",
    OR(B112="Ekiti",B112="Lagos",B112="Ogun",B112="Ondo",B112="Osun",B112="Oyo"),"South West"
)</f>
        <v>North East</v>
      </c>
      <c r="H112">
        <f t="shared" si="1"/>
        <v>2446</v>
      </c>
    </row>
    <row r="113" spans="1:8" ht="15" thickBot="1" x14ac:dyDescent="0.4">
      <c r="A113" s="3">
        <v>2021</v>
      </c>
      <c r="B113" s="3" t="s">
        <v>6</v>
      </c>
      <c r="C113" s="3">
        <v>223</v>
      </c>
      <c r="D113" s="3">
        <v>223</v>
      </c>
      <c r="E113" s="4">
        <v>50</v>
      </c>
      <c r="F113" s="4">
        <v>173</v>
      </c>
      <c r="G113" t="str" cm="1">
        <f t="array" ref="G113">_xlfn.IFS(
    OR(B113="Benue",B113="Kogi",B113="Kwara",B113="Nasarawa",B113="Niger",B113="Plateau",B113="FCT"),"North Central",
    OR(B113="Adamawa",B113="Bauchi",B113="Borno",B113="Gombe",B113="Taraba",B113="Yobe"),"North East",
    OR(B113="Kaduna",B113="Kano",B113="Katsina",B113="Kebbi",B113="Sokoto",B113="Zamfara","Jigawa"),"North West",
    OR(B113="Abia",B113="Anambra",B113="Ebonyi",B113="Enugu",B113="Imo"),"South East",
    OR(B113="Akwa Ibom",B113="Bayelsa",B113="Cross River",B113="Delta",B113="Edo",B113="Rivers"),"South South",
    OR(B113="Ekiti",B113="Lagos",B113="Ogun",B113="Ondo",B113="Osun",B113="Oyo"),"South West"
)</f>
        <v>North West</v>
      </c>
      <c r="H113">
        <f t="shared" si="1"/>
        <v>223</v>
      </c>
    </row>
    <row r="114" spans="1:8" ht="15" thickBot="1" x14ac:dyDescent="0.4">
      <c r="A114" s="3">
        <v>2021</v>
      </c>
      <c r="B114" s="3" t="s">
        <v>6</v>
      </c>
      <c r="C114" s="3">
        <v>87</v>
      </c>
      <c r="D114" s="3">
        <v>87</v>
      </c>
      <c r="E114" s="4">
        <v>48</v>
      </c>
      <c r="F114" s="4">
        <v>39</v>
      </c>
      <c r="G114" t="str" cm="1">
        <f t="array" ref="G114">_xlfn.IFS(
    OR(B114="Benue",B114="Kogi",B114="Kwara",B114="Nasarawa",B114="Niger",B114="Plateau",B114="FCT"),"North Central",
    OR(B114="Adamawa",B114="Bauchi",B114="Borno",B114="Gombe",B114="Taraba",B114="Yobe"),"North East",
    OR(B114="Kaduna",B114="Kano",B114="Katsina",B114="Kebbi",B114="Sokoto",B114="Zamfara","Jigawa"),"North West",
    OR(B114="Abia",B114="Anambra",B114="Ebonyi",B114="Enugu",B114="Imo"),"South East",
    OR(B114="Akwa Ibom",B114="Bayelsa",B114="Cross River",B114="Delta",B114="Edo",B114="Rivers"),"South South",
    OR(B114="Ekiti",B114="Lagos",B114="Ogun",B114="Ondo",B114="Osun",B114="Oyo"),"South West"
)</f>
        <v>North West</v>
      </c>
      <c r="H114">
        <f t="shared" si="1"/>
        <v>87</v>
      </c>
    </row>
    <row r="115" spans="1:8" ht="15" thickBot="1" x14ac:dyDescent="0.4">
      <c r="A115" s="3">
        <v>2021</v>
      </c>
      <c r="B115" s="3" t="s">
        <v>9</v>
      </c>
      <c r="C115" s="3">
        <v>104510</v>
      </c>
      <c r="D115" s="3">
        <v>104510</v>
      </c>
      <c r="E115" s="4">
        <v>17405</v>
      </c>
      <c r="F115" s="4">
        <v>87105</v>
      </c>
      <c r="G115" t="str" cm="1">
        <f t="array" ref="G115">_xlfn.IFS(
    OR(B115="Benue",B115="Kogi",B115="Kwara",B115="Nasarawa",B115="Niger",B115="Plateau",B115="FCT"),"North Central",
    OR(B115="Adamawa",B115="Bauchi",B115="Borno",B115="Gombe",B115="Taraba",B115="Yobe"),"North East",
    OR(B115="Kaduna",B115="Kano",B115="Katsina",B115="Kebbi",B115="Sokoto",B115="Zamfara","Jigawa"),"North West",
    OR(B115="Abia",B115="Anambra",B115="Ebonyi",B115="Enugu",B115="Imo"),"South East",
    OR(B115="Akwa Ibom",B115="Bayelsa",B115="Cross River",B115="Delta",B115="Edo",B115="Rivers"),"South South",
    OR(B115="Ekiti",B115="Lagos",B115="Ogun",B115="Ondo",B115="Osun",B115="Oyo"),"South West"
)</f>
        <v>North Central</v>
      </c>
      <c r="H115">
        <f t="shared" si="1"/>
        <v>104510</v>
      </c>
    </row>
    <row r="116" spans="1:8" ht="15" thickBot="1" x14ac:dyDescent="0.4">
      <c r="A116" s="3">
        <v>2022</v>
      </c>
      <c r="B116" s="3" t="s">
        <v>9</v>
      </c>
      <c r="C116" s="3">
        <v>450</v>
      </c>
      <c r="D116" s="3">
        <v>450</v>
      </c>
      <c r="E116" s="4">
        <v>100</v>
      </c>
      <c r="F116" s="4">
        <v>350</v>
      </c>
      <c r="G116" t="str" cm="1">
        <f t="array" ref="G116">_xlfn.IFS(
    OR(B116="Benue",B116="Kogi",B116="Kwara",B116="Nasarawa",B116="Niger",B116="Plateau",B116="FCT"),"North Central",
    OR(B116="Adamawa",B116="Bauchi",B116="Borno",B116="Gombe",B116="Taraba",B116="Yobe"),"North East",
    OR(B116="Kaduna",B116="Kano",B116="Katsina",B116="Kebbi",B116="Sokoto",B116="Zamfara","Jigawa"),"North West",
    OR(B116="Abia",B116="Anambra",B116="Ebonyi",B116="Enugu",B116="Imo"),"South East",
    OR(B116="Akwa Ibom",B116="Bayelsa",B116="Cross River",B116="Delta",B116="Edo",B116="Rivers"),"South South",
    OR(B116="Ekiti",B116="Lagos",B116="Ogun",B116="Ondo",B116="Osun",B116="Oyo"),"South West"
)</f>
        <v>North Central</v>
      </c>
      <c r="H116">
        <f t="shared" si="1"/>
        <v>450</v>
      </c>
    </row>
    <row r="117" spans="1:8" ht="15" thickBot="1" x14ac:dyDescent="0.4">
      <c r="A117" s="3">
        <v>2022</v>
      </c>
      <c r="B117" s="3" t="s">
        <v>9</v>
      </c>
      <c r="C117" s="3">
        <v>600</v>
      </c>
      <c r="D117" s="3">
        <v>600</v>
      </c>
      <c r="E117" s="4">
        <v>350</v>
      </c>
      <c r="F117" s="4">
        <v>250</v>
      </c>
      <c r="G117" t="str" cm="1">
        <f t="array" ref="G117">_xlfn.IFS(
    OR(B117="Benue",B117="Kogi",B117="Kwara",B117="Nasarawa",B117="Niger",B117="Plateau",B117="FCT"),"North Central",
    OR(B117="Adamawa",B117="Bauchi",B117="Borno",B117="Gombe",B117="Taraba",B117="Yobe"),"North East",
    OR(B117="Kaduna",B117="Kano",B117="Katsina",B117="Kebbi",B117="Sokoto",B117="Zamfara","Jigawa"),"North West",
    OR(B117="Abia",B117="Anambra",B117="Ebonyi",B117="Enugu",B117="Imo"),"South East",
    OR(B117="Akwa Ibom",B117="Bayelsa",B117="Cross River",B117="Delta",B117="Edo",B117="Rivers"),"South South",
    OR(B117="Ekiti",B117="Lagos",B117="Ogun",B117="Ondo",B117="Osun",B117="Oyo"),"South West"
)</f>
        <v>North Central</v>
      </c>
      <c r="H117">
        <f t="shared" si="1"/>
        <v>600</v>
      </c>
    </row>
    <row r="118" spans="1:8" ht="15" thickBot="1" x14ac:dyDescent="0.4">
      <c r="A118" s="3">
        <v>2022</v>
      </c>
      <c r="B118" s="3" t="s">
        <v>6</v>
      </c>
      <c r="C118" s="3">
        <v>1700</v>
      </c>
      <c r="D118" s="3">
        <v>1700</v>
      </c>
      <c r="E118" s="4">
        <v>64</v>
      </c>
      <c r="F118" s="4">
        <v>1636</v>
      </c>
      <c r="G118" t="str" cm="1">
        <f t="array" ref="G118">_xlfn.IFS(
    OR(B118="Benue",B118="Kogi",B118="Kwara",B118="Nasarawa",B118="Niger",B118="Plateau",B118="FCT"),"North Central",
    OR(B118="Adamawa",B118="Bauchi",B118="Borno",B118="Gombe",B118="Taraba",B118="Yobe"),"North East",
    OR(B118="Kaduna",B118="Kano",B118="Katsina",B118="Kebbi",B118="Sokoto",B118="Zamfara","Jigawa"),"North West",
    OR(B118="Abia",B118="Anambra",B118="Ebonyi",B118="Enugu",B118="Imo"),"South East",
    OR(B118="Akwa Ibom",B118="Bayelsa",B118="Cross River",B118="Delta",B118="Edo",B118="Rivers"),"South South",
    OR(B118="Ekiti",B118="Lagos",B118="Ogun",B118="Ondo",B118="Osun",B118="Oyo"),"South West"
)</f>
        <v>North West</v>
      </c>
      <c r="H118">
        <f t="shared" si="1"/>
        <v>1700</v>
      </c>
    </row>
    <row r="119" spans="1:8" ht="15" thickBot="1" x14ac:dyDescent="0.4">
      <c r="A119" s="3">
        <v>2022</v>
      </c>
      <c r="B119" s="3" t="s">
        <v>6</v>
      </c>
      <c r="C119" s="3">
        <v>1700</v>
      </c>
      <c r="D119" s="3">
        <v>1700</v>
      </c>
      <c r="E119" s="4">
        <v>950</v>
      </c>
      <c r="F119" s="4">
        <v>750</v>
      </c>
      <c r="G119" t="str" cm="1">
        <f t="array" ref="G119">_xlfn.IFS(
    OR(B119="Benue",B119="Kogi",B119="Kwara",B119="Nasarawa",B119="Niger",B119="Plateau",B119="FCT"),"North Central",
    OR(B119="Adamawa",B119="Bauchi",B119="Borno",B119="Gombe",B119="Taraba",B119="Yobe"),"North East",
    OR(B119="Kaduna",B119="Kano",B119="Katsina",B119="Kebbi",B119="Sokoto",B119="Zamfara","Jigawa"),"North West",
    OR(B119="Abia",B119="Anambra",B119="Ebonyi",B119="Enugu",B119="Imo"),"South East",
    OR(B119="Akwa Ibom",B119="Bayelsa",B119="Cross River",B119="Delta",B119="Edo",B119="Rivers"),"South South",
    OR(B119="Ekiti",B119="Lagos",B119="Ogun",B119="Ondo",B119="Osun",B119="Oyo"),"South West"
)</f>
        <v>North West</v>
      </c>
      <c r="H119">
        <f t="shared" si="1"/>
        <v>1700</v>
      </c>
    </row>
    <row r="120" spans="1:8" ht="15" thickBot="1" x14ac:dyDescent="0.4">
      <c r="A120" s="3">
        <v>2022</v>
      </c>
      <c r="B120" s="3" t="s">
        <v>6</v>
      </c>
      <c r="C120" s="3">
        <v>2500</v>
      </c>
      <c r="D120" s="3">
        <v>2500</v>
      </c>
      <c r="E120" s="4">
        <v>200</v>
      </c>
      <c r="F120" s="4">
        <v>2300</v>
      </c>
      <c r="G120" t="str" cm="1">
        <f t="array" ref="G120">_xlfn.IFS(
    OR(B120="Benue",B120="Kogi",B120="Kwara",B120="Nasarawa",B120="Niger",B120="Plateau",B120="FCT"),"North Central",
    OR(B120="Adamawa",B120="Bauchi",B120="Borno",B120="Gombe",B120="Taraba",B120="Yobe"),"North East",
    OR(B120="Kaduna",B120="Kano",B120="Katsina",B120="Kebbi",B120="Sokoto",B120="Zamfara","Jigawa"),"North West",
    OR(B120="Abia",B120="Anambra",B120="Ebonyi",B120="Enugu",B120="Imo"),"South East",
    OR(B120="Akwa Ibom",B120="Bayelsa",B120="Cross River",B120="Delta",B120="Edo",B120="Rivers"),"South South",
    OR(B120="Ekiti",B120="Lagos",B120="Ogun",B120="Ondo",B120="Osun",B120="Oyo"),"South West"
)</f>
        <v>North West</v>
      </c>
      <c r="H120">
        <f t="shared" si="1"/>
        <v>2500</v>
      </c>
    </row>
    <row r="121" spans="1:8" ht="15" thickBot="1" x14ac:dyDescent="0.4">
      <c r="A121" s="3">
        <v>2022</v>
      </c>
      <c r="B121" s="3" t="s">
        <v>6</v>
      </c>
      <c r="C121" s="3">
        <v>6000</v>
      </c>
      <c r="D121" s="3">
        <v>6000</v>
      </c>
      <c r="E121" s="4">
        <v>1218</v>
      </c>
      <c r="F121" s="4">
        <v>4782</v>
      </c>
      <c r="G121" t="str" cm="1">
        <f t="array" ref="G121">_xlfn.IFS(
    OR(B121="Benue",B121="Kogi",B121="Kwara",B121="Nasarawa",B121="Niger",B121="Plateau",B121="FCT"),"North Central",
    OR(B121="Adamawa",B121="Bauchi",B121="Borno",B121="Gombe",B121="Taraba",B121="Yobe"),"North East",
    OR(B121="Kaduna",B121="Kano",B121="Katsina",B121="Kebbi",B121="Sokoto",B121="Zamfara","Jigawa"),"North West",
    OR(B121="Abia",B121="Anambra",B121="Ebonyi",B121="Enugu",B121="Imo"),"South East",
    OR(B121="Akwa Ibom",B121="Bayelsa",B121="Cross River",B121="Delta",B121="Edo",B121="Rivers"),"South South",
    OR(B121="Ekiti",B121="Lagos",B121="Ogun",B121="Ondo",B121="Osun",B121="Oyo"),"South West"
)</f>
        <v>North West</v>
      </c>
      <c r="H121">
        <f t="shared" si="1"/>
        <v>6000</v>
      </c>
    </row>
    <row r="122" spans="1:8" ht="15" thickBot="1" x14ac:dyDescent="0.4">
      <c r="A122" s="3">
        <v>2022</v>
      </c>
      <c r="B122" s="3" t="s">
        <v>14</v>
      </c>
      <c r="C122" s="3">
        <v>4800</v>
      </c>
      <c r="D122" s="3">
        <v>4800</v>
      </c>
      <c r="E122" s="4">
        <v>308</v>
      </c>
      <c r="F122" s="4">
        <v>4492</v>
      </c>
      <c r="G122" t="str" cm="1">
        <f t="array" ref="G122">_xlfn.IFS(
    OR(B122="Benue",B122="Kogi",B122="Kwara",B122="Nasarawa",B122="Niger",B122="Plateau",B122="FCT"),"North Central",
    OR(B122="Adamawa",B122="Bauchi",B122="Borno",B122="Gombe",B122="Taraba",B122="Yobe"),"North East",
    OR(B122="Kaduna",B122="Kano",B122="Katsina",B122="Kebbi",B122="Sokoto",B122="Zamfara","Jigawa"),"North West",
    OR(B122="Abia",B122="Anambra",B122="Ebonyi",B122="Enugu",B122="Imo"),"South East",
    OR(B122="Akwa Ibom",B122="Bayelsa",B122="Cross River",B122="Delta",B122="Edo",B122="Rivers"),"South South",
    OR(B122="Ekiti",B122="Lagos",B122="Ogun",B122="Ondo",B122="Osun",B122="Oyo"),"South West"
)</f>
        <v>North East</v>
      </c>
      <c r="H122">
        <f t="shared" si="1"/>
        <v>4800</v>
      </c>
    </row>
    <row r="123" spans="1:8" ht="15" thickBot="1" x14ac:dyDescent="0.4">
      <c r="A123" s="3">
        <v>2022</v>
      </c>
      <c r="B123" s="3" t="s">
        <v>26</v>
      </c>
      <c r="C123" s="3">
        <v>5500</v>
      </c>
      <c r="D123" s="3">
        <v>5500</v>
      </c>
      <c r="E123" s="4">
        <v>200</v>
      </c>
      <c r="F123" s="4">
        <v>5300</v>
      </c>
      <c r="G123" t="str" cm="1">
        <f t="array" ref="G123">_xlfn.IFS(
    OR(B123="Benue",B123="Kogi",B123="Kwara",B123="Nasarawa",B123="Niger",B123="Plateau",B123="FCT"),"North Central",
    OR(B123="Adamawa",B123="Bauchi",B123="Borno",B123="Gombe",B123="Taraba",B123="Yobe"),"North East",
    OR(B123="Kaduna",B123="Kano",B123="Katsina",B123="Kebbi",B123="Sokoto",B123="Zamfara","Jigawa"),"North West",
    OR(B123="Abia",B123="Anambra",B123="Ebonyi",B123="Enugu",B123="Imo"),"South East",
    OR(B123="Akwa Ibom",B123="Bayelsa",B123="Cross River",B123="Delta",B123="Edo",B123="Rivers"),"South South",
    OR(B123="Ekiti",B123="Lagos",B123="Ogun",B123="Ondo",B123="Osun",B123="Oyo"),"South West"
)</f>
        <v>North Central</v>
      </c>
      <c r="H123">
        <f t="shared" si="1"/>
        <v>5500</v>
      </c>
    </row>
    <row r="124" spans="1:8" ht="15" thickBot="1" x14ac:dyDescent="0.4">
      <c r="A124" s="3">
        <v>2022</v>
      </c>
      <c r="B124" s="3" t="s">
        <v>17</v>
      </c>
      <c r="C124" s="3">
        <v>2500</v>
      </c>
      <c r="D124" s="3">
        <v>2500</v>
      </c>
      <c r="E124" s="4">
        <v>450</v>
      </c>
      <c r="F124" s="4">
        <v>2050</v>
      </c>
      <c r="G124" t="str" cm="1">
        <f t="array" ref="G124">_xlfn.IFS(
    OR(B124="Benue",B124="Kogi",B124="Kwara",B124="Nasarawa",B124="Niger",B124="Plateau",B124="FCT"),"North Central",
    OR(B124="Adamawa",B124="Bauchi",B124="Borno",B124="Gombe",B124="Taraba",B124="Yobe"),"North East",
    OR(B124="Kaduna",B124="Kano",B124="Katsina",B124="Kebbi",B124="Sokoto",B124="Zamfara","Jigawa"),"North West",
    OR(B124="Abia",B124="Anambra",B124="Ebonyi",B124="Enugu",B124="Imo"),"South East",
    OR(B124="Akwa Ibom",B124="Bayelsa",B124="Cross River",B124="Delta",B124="Edo",B124="Rivers"),"South South",
    OR(B124="Ekiti",B124="Lagos",B124="Ogun",B124="Ondo",B124="Osun",B124="Oyo"),"South West"
)</f>
        <v>North Central</v>
      </c>
      <c r="H124">
        <f t="shared" si="1"/>
        <v>2500</v>
      </c>
    </row>
    <row r="125" spans="1:8" ht="15" thickBot="1" x14ac:dyDescent="0.4">
      <c r="A125" s="3">
        <v>2022</v>
      </c>
      <c r="B125" s="3" t="s">
        <v>9</v>
      </c>
      <c r="C125" s="3">
        <v>25</v>
      </c>
      <c r="D125" s="3">
        <v>25</v>
      </c>
      <c r="E125" s="4">
        <v>4</v>
      </c>
      <c r="F125" s="4">
        <v>21</v>
      </c>
      <c r="G125" t="str" cm="1">
        <f t="array" ref="G125">_xlfn.IFS(
    OR(B125="Benue",B125="Kogi",B125="Kwara",B125="Nasarawa",B125="Niger",B125="Plateau",B125="FCT"),"North Central",
    OR(B125="Adamawa",B125="Bauchi",B125="Borno",B125="Gombe",B125="Taraba",B125="Yobe"),"North East",
    OR(B125="Kaduna",B125="Kano",B125="Katsina",B125="Kebbi",B125="Sokoto",B125="Zamfara","Jigawa"),"North West",
    OR(B125="Abia",B125="Anambra",B125="Ebonyi",B125="Enugu",B125="Imo"),"South East",
    OR(B125="Akwa Ibom",B125="Bayelsa",B125="Cross River",B125="Delta",B125="Edo",B125="Rivers"),"South South",
    OR(B125="Ekiti",B125="Lagos",B125="Ogun",B125="Ondo",B125="Osun",B125="Oyo"),"South West"
)</f>
        <v>North Central</v>
      </c>
      <c r="H125">
        <f t="shared" si="1"/>
        <v>25</v>
      </c>
    </row>
    <row r="126" spans="1:8" ht="15" thickBot="1" x14ac:dyDescent="0.4">
      <c r="A126" s="3">
        <v>2022</v>
      </c>
      <c r="B126" s="3" t="s">
        <v>9</v>
      </c>
      <c r="C126" s="3">
        <v>50</v>
      </c>
      <c r="D126" s="3">
        <v>50</v>
      </c>
      <c r="E126" s="4">
        <v>12</v>
      </c>
      <c r="F126" s="4">
        <v>38</v>
      </c>
      <c r="G126" t="str" cm="1">
        <f t="array" ref="G126">_xlfn.IFS(
    OR(B126="Benue",B126="Kogi",B126="Kwara",B126="Nasarawa",B126="Niger",B126="Plateau",B126="FCT"),"North Central",
    OR(B126="Adamawa",B126="Bauchi",B126="Borno",B126="Gombe",B126="Taraba",B126="Yobe"),"North East",
    OR(B126="Kaduna",B126="Kano",B126="Katsina",B126="Kebbi",B126="Sokoto",B126="Zamfara","Jigawa"),"North West",
    OR(B126="Abia",B126="Anambra",B126="Ebonyi",B126="Enugu",B126="Imo"),"South East",
    OR(B126="Akwa Ibom",B126="Bayelsa",B126="Cross River",B126="Delta",B126="Edo",B126="Rivers"),"South South",
    OR(B126="Ekiti",B126="Lagos",B126="Ogun",B126="Ondo",B126="Osun",B126="Oyo"),"South West"
)</f>
        <v>North Central</v>
      </c>
      <c r="H126">
        <f t="shared" si="1"/>
        <v>50</v>
      </c>
    </row>
    <row r="127" spans="1:8" ht="15" thickBot="1" x14ac:dyDescent="0.4">
      <c r="A127" s="3">
        <v>2022</v>
      </c>
      <c r="B127" s="3" t="s">
        <v>9</v>
      </c>
      <c r="C127" s="3">
        <v>250</v>
      </c>
      <c r="D127" s="3">
        <v>250</v>
      </c>
      <c r="E127" s="4">
        <v>30</v>
      </c>
      <c r="F127" s="4">
        <v>220</v>
      </c>
      <c r="G127" t="str" cm="1">
        <f t="array" ref="G127">_xlfn.IFS(
    OR(B127="Benue",B127="Kogi",B127="Kwara",B127="Nasarawa",B127="Niger",B127="Plateau",B127="FCT"),"North Central",
    OR(B127="Adamawa",B127="Bauchi",B127="Borno",B127="Gombe",B127="Taraba",B127="Yobe"),"North East",
    OR(B127="Kaduna",B127="Kano",B127="Katsina",B127="Kebbi",B127="Sokoto",B127="Zamfara","Jigawa"),"North West",
    OR(B127="Abia",B127="Anambra",B127="Ebonyi",B127="Enugu",B127="Imo"),"South East",
    OR(B127="Akwa Ibom",B127="Bayelsa",B127="Cross River",B127="Delta",B127="Edo",B127="Rivers"),"South South",
    OR(B127="Ekiti",B127="Lagos",B127="Ogun",B127="Ondo",B127="Osun",B127="Oyo"),"South West"
)</f>
        <v>North Central</v>
      </c>
      <c r="H127">
        <f t="shared" si="1"/>
        <v>250</v>
      </c>
    </row>
    <row r="128" spans="1:8" ht="15" thickBot="1" x14ac:dyDescent="0.4">
      <c r="A128" s="3">
        <v>2022</v>
      </c>
      <c r="B128" s="3" t="s">
        <v>9</v>
      </c>
      <c r="C128" s="3">
        <v>350</v>
      </c>
      <c r="D128" s="3">
        <v>350</v>
      </c>
      <c r="E128" s="4">
        <v>50</v>
      </c>
      <c r="F128" s="4">
        <v>300</v>
      </c>
      <c r="G128" t="str" cm="1">
        <f t="array" ref="G128">_xlfn.IFS(
    OR(B128="Benue",B128="Kogi",B128="Kwara",B128="Nasarawa",B128="Niger",B128="Plateau",B128="FCT"),"North Central",
    OR(B128="Adamawa",B128="Bauchi",B128="Borno",B128="Gombe",B128="Taraba",B128="Yobe"),"North East",
    OR(B128="Kaduna",B128="Kano",B128="Katsina",B128="Kebbi",B128="Sokoto",B128="Zamfara","Jigawa"),"North West",
    OR(B128="Abia",B128="Anambra",B128="Ebonyi",B128="Enugu",B128="Imo"),"South East",
    OR(B128="Akwa Ibom",B128="Bayelsa",B128="Cross River",B128="Delta",B128="Edo",B128="Rivers"),"South South",
    OR(B128="Ekiti",B128="Lagos",B128="Ogun",B128="Ondo",B128="Osun",B128="Oyo"),"South West"
)</f>
        <v>North Central</v>
      </c>
      <c r="H128">
        <f t="shared" si="1"/>
        <v>350</v>
      </c>
    </row>
    <row r="129" spans="1:8" ht="15" thickBot="1" x14ac:dyDescent="0.4">
      <c r="A129" s="3">
        <v>2022</v>
      </c>
      <c r="B129" s="3" t="s">
        <v>16</v>
      </c>
      <c r="C129" s="3">
        <v>1000</v>
      </c>
      <c r="D129" s="3">
        <v>1000</v>
      </c>
      <c r="E129" s="4">
        <v>75</v>
      </c>
      <c r="F129" s="4">
        <v>925</v>
      </c>
      <c r="G129" t="str" cm="1">
        <f t="array" ref="G129">_xlfn.IFS(
    OR(B129="Benue",B129="Kogi",B129="Kwara",B129="Nasarawa",B129="Niger",B129="Plateau",B129="FCT"),"North Central",
    OR(B129="Adamawa",B129="Bauchi",B129="Borno",B129="Gombe",B129="Taraba",B129="Yobe"),"North East",
    OR(B129="Kaduna",B129="Kano",B129="Katsina",B129="Kebbi",B129="Sokoto",B129="Zamfara","Jigawa"),"North West",
    OR(B129="Abia",B129="Anambra",B129="Ebonyi",B129="Enugu",B129="Imo"),"South East",
    OR(B129="Akwa Ibom",B129="Bayelsa",B129="Cross River",B129="Delta",B129="Edo",B129="Rivers"),"South South",
    OR(B129="Ekiti",B129="Lagos",B129="Ogun",B129="Ondo",B129="Osun",B129="Oyo"),"South West"
)</f>
        <v>North West</v>
      </c>
      <c r="H129">
        <f t="shared" si="1"/>
        <v>1000</v>
      </c>
    </row>
    <row r="130" spans="1:8" ht="15" thickBot="1" x14ac:dyDescent="0.4">
      <c r="A130" s="3">
        <v>2022</v>
      </c>
      <c r="B130" s="3" t="s">
        <v>16</v>
      </c>
      <c r="C130" s="3">
        <v>19</v>
      </c>
      <c r="D130" s="3">
        <v>19</v>
      </c>
      <c r="E130" s="4">
        <v>3</v>
      </c>
      <c r="F130" s="4">
        <v>16</v>
      </c>
      <c r="G130" t="str" cm="1">
        <f t="array" ref="G130">_xlfn.IFS(
    OR(B130="Benue",B130="Kogi",B130="Kwara",B130="Nasarawa",B130="Niger",B130="Plateau",B130="FCT"),"North Central",
    OR(B130="Adamawa",B130="Bauchi",B130="Borno",B130="Gombe",B130="Taraba",B130="Yobe"),"North East",
    OR(B130="Kaduna",B130="Kano",B130="Katsina",B130="Kebbi",B130="Sokoto",B130="Zamfara","Jigawa"),"North West",
    OR(B130="Abia",B130="Anambra",B130="Ebonyi",B130="Enugu",B130="Imo"),"South East",
    OR(B130="Akwa Ibom",B130="Bayelsa",B130="Cross River",B130="Delta",B130="Edo",B130="Rivers"),"South South",
    OR(B130="Ekiti",B130="Lagos",B130="Ogun",B130="Ondo",B130="Osun",B130="Oyo"),"South West"
)</f>
        <v>North West</v>
      </c>
      <c r="H130">
        <f t="shared" si="1"/>
        <v>19</v>
      </c>
    </row>
    <row r="131" spans="1:8" ht="15" thickBot="1" x14ac:dyDescent="0.4">
      <c r="A131" s="3">
        <v>2022</v>
      </c>
      <c r="B131" s="3" t="s">
        <v>16</v>
      </c>
      <c r="C131" s="3">
        <v>5000</v>
      </c>
      <c r="D131" s="3">
        <v>5000</v>
      </c>
      <c r="E131" s="4">
        <v>230</v>
      </c>
      <c r="F131" s="4">
        <v>4770</v>
      </c>
      <c r="G131" t="str" cm="1">
        <f t="array" ref="G131">_xlfn.IFS(
    OR(B131="Benue",B131="Kogi",B131="Kwara",B131="Nasarawa",B131="Niger",B131="Plateau",B131="FCT"),"North Central",
    OR(B131="Adamawa",B131="Bauchi",B131="Borno",B131="Gombe",B131="Taraba",B131="Yobe"),"North East",
    OR(B131="Kaduna",B131="Kano",B131="Katsina",B131="Kebbi",B131="Sokoto",B131="Zamfara","Jigawa"),"North West",
    OR(B131="Abia",B131="Anambra",B131="Ebonyi",B131="Enugu",B131="Imo"),"South East",
    OR(B131="Akwa Ibom",B131="Bayelsa",B131="Cross River",B131="Delta",B131="Edo",B131="Rivers"),"South South",
    OR(B131="Ekiti",B131="Lagos",B131="Ogun",B131="Ondo",B131="Osun",B131="Oyo"),"South West"
)</f>
        <v>North West</v>
      </c>
      <c r="H131">
        <f t="shared" ref="H131:H194" si="2">E131+F131</f>
        <v>5000</v>
      </c>
    </row>
    <row r="132" spans="1:8" ht="15" thickBot="1" x14ac:dyDescent="0.4">
      <c r="A132" s="3">
        <v>2022</v>
      </c>
      <c r="B132" s="3" t="s">
        <v>6</v>
      </c>
      <c r="C132" s="3">
        <v>2100</v>
      </c>
      <c r="D132" s="3">
        <v>2100</v>
      </c>
      <c r="E132" s="4">
        <v>200</v>
      </c>
      <c r="F132" s="4">
        <v>1900</v>
      </c>
      <c r="G132" t="str" cm="1">
        <f t="array" ref="G132">_xlfn.IFS(
    OR(B132="Benue",B132="Kogi",B132="Kwara",B132="Nasarawa",B132="Niger",B132="Plateau",B132="FCT"),"North Central",
    OR(B132="Adamawa",B132="Bauchi",B132="Borno",B132="Gombe",B132="Taraba",B132="Yobe"),"North East",
    OR(B132="Kaduna",B132="Kano",B132="Katsina",B132="Kebbi",B132="Sokoto",B132="Zamfara","Jigawa"),"North West",
    OR(B132="Abia",B132="Anambra",B132="Ebonyi",B132="Enugu",B132="Imo"),"South East",
    OR(B132="Akwa Ibom",B132="Bayelsa",B132="Cross River",B132="Delta",B132="Edo",B132="Rivers"),"South South",
    OR(B132="Ekiti",B132="Lagos",B132="Ogun",B132="Ondo",B132="Osun",B132="Oyo"),"South West"
)</f>
        <v>North West</v>
      </c>
      <c r="H132">
        <f t="shared" si="2"/>
        <v>2100</v>
      </c>
    </row>
    <row r="133" spans="1:8" ht="15" thickBot="1" x14ac:dyDescent="0.4">
      <c r="A133" s="3">
        <v>2022</v>
      </c>
      <c r="B133" s="3" t="s">
        <v>6</v>
      </c>
      <c r="C133" s="3">
        <v>1500</v>
      </c>
      <c r="D133" s="3">
        <v>1500</v>
      </c>
      <c r="E133" s="4">
        <v>400</v>
      </c>
      <c r="F133" s="4">
        <v>1100</v>
      </c>
      <c r="G133" t="str" cm="1">
        <f t="array" ref="G133">_xlfn.IFS(
    OR(B133="Benue",B133="Kogi",B133="Kwara",B133="Nasarawa",B133="Niger",B133="Plateau",B133="FCT"),"North Central",
    OR(B133="Adamawa",B133="Bauchi",B133="Borno",B133="Gombe",B133="Taraba",B133="Yobe"),"North East",
    OR(B133="Kaduna",B133="Kano",B133="Katsina",B133="Kebbi",B133="Sokoto",B133="Zamfara","Jigawa"),"North West",
    OR(B133="Abia",B133="Anambra",B133="Ebonyi",B133="Enugu",B133="Imo"),"South East",
    OR(B133="Akwa Ibom",B133="Bayelsa",B133="Cross River",B133="Delta",B133="Edo",B133="Rivers"),"South South",
    OR(B133="Ekiti",B133="Lagos",B133="Ogun",B133="Ondo",B133="Osun",B133="Oyo"),"South West"
)</f>
        <v>North West</v>
      </c>
      <c r="H133">
        <f t="shared" si="2"/>
        <v>1500</v>
      </c>
    </row>
    <row r="134" spans="1:8" ht="15" thickBot="1" x14ac:dyDescent="0.4">
      <c r="A134" s="3">
        <v>2022</v>
      </c>
      <c r="B134" s="3" t="s">
        <v>6</v>
      </c>
      <c r="C134" s="3">
        <v>1200</v>
      </c>
      <c r="D134" s="3">
        <v>1200</v>
      </c>
      <c r="E134" s="4">
        <v>100</v>
      </c>
      <c r="F134" s="4">
        <v>1100</v>
      </c>
      <c r="G134" t="str" cm="1">
        <f t="array" ref="G134">_xlfn.IFS(
    OR(B134="Benue",B134="Kogi",B134="Kwara",B134="Nasarawa",B134="Niger",B134="Plateau",B134="FCT"),"North Central",
    OR(B134="Adamawa",B134="Bauchi",B134="Borno",B134="Gombe",B134="Taraba",B134="Yobe"),"North East",
    OR(B134="Kaduna",B134="Kano",B134="Katsina",B134="Kebbi",B134="Sokoto",B134="Zamfara","Jigawa"),"North West",
    OR(B134="Abia",B134="Anambra",B134="Ebonyi",B134="Enugu",B134="Imo"),"South East",
    OR(B134="Akwa Ibom",B134="Bayelsa",B134="Cross River",B134="Delta",B134="Edo",B134="Rivers"),"South South",
    OR(B134="Ekiti",B134="Lagos",B134="Ogun",B134="Ondo",B134="Osun",B134="Oyo"),"South West"
)</f>
        <v>North West</v>
      </c>
      <c r="H134">
        <f t="shared" si="2"/>
        <v>1200</v>
      </c>
    </row>
    <row r="135" spans="1:8" ht="15" thickBot="1" x14ac:dyDescent="0.4">
      <c r="A135" s="3">
        <v>2022</v>
      </c>
      <c r="B135" s="3" t="s">
        <v>6</v>
      </c>
      <c r="C135" s="3">
        <v>2700</v>
      </c>
      <c r="D135" s="3">
        <v>2700</v>
      </c>
      <c r="E135" s="4">
        <v>200</v>
      </c>
      <c r="F135" s="4">
        <v>2500</v>
      </c>
      <c r="G135" t="str" cm="1">
        <f t="array" ref="G135">_xlfn.IFS(
    OR(B135="Benue",B135="Kogi",B135="Kwara",B135="Nasarawa",B135="Niger",B135="Plateau",B135="FCT"),"North Central",
    OR(B135="Adamawa",B135="Bauchi",B135="Borno",B135="Gombe",B135="Taraba",B135="Yobe"),"North East",
    OR(B135="Kaduna",B135="Kano",B135="Katsina",B135="Kebbi",B135="Sokoto",B135="Zamfara","Jigawa"),"North West",
    OR(B135="Abia",B135="Anambra",B135="Ebonyi",B135="Enugu",B135="Imo"),"South East",
    OR(B135="Akwa Ibom",B135="Bayelsa",B135="Cross River",B135="Delta",B135="Edo",B135="Rivers"),"South South",
    OR(B135="Ekiti",B135="Lagos",B135="Ogun",B135="Ondo",B135="Osun",B135="Oyo"),"South West"
)</f>
        <v>North West</v>
      </c>
      <c r="H135">
        <f t="shared" si="2"/>
        <v>2700</v>
      </c>
    </row>
    <row r="136" spans="1:8" ht="15" thickBot="1" x14ac:dyDescent="0.4">
      <c r="A136" s="3">
        <v>2022</v>
      </c>
      <c r="B136" s="3" t="s">
        <v>6</v>
      </c>
      <c r="C136" s="3">
        <v>2500</v>
      </c>
      <c r="D136" s="3">
        <v>2500</v>
      </c>
      <c r="E136" s="4">
        <v>100</v>
      </c>
      <c r="F136" s="4">
        <v>2400</v>
      </c>
      <c r="G136" t="str" cm="1">
        <f t="array" ref="G136">_xlfn.IFS(
    OR(B136="Benue",B136="Kogi",B136="Kwara",B136="Nasarawa",B136="Niger",B136="Plateau",B136="FCT"),"North Central",
    OR(B136="Adamawa",B136="Bauchi",B136="Borno",B136="Gombe",B136="Taraba",B136="Yobe"),"North East",
    OR(B136="Kaduna",B136="Kano",B136="Katsina",B136="Kebbi",B136="Sokoto",B136="Zamfara","Jigawa"),"North West",
    OR(B136="Abia",B136="Anambra",B136="Ebonyi",B136="Enugu",B136="Imo"),"South East",
    OR(B136="Akwa Ibom",B136="Bayelsa",B136="Cross River",B136="Delta",B136="Edo",B136="Rivers"),"South South",
    OR(B136="Ekiti",B136="Lagos",B136="Ogun",B136="Ondo",B136="Osun",B136="Oyo"),"South West"
)</f>
        <v>North West</v>
      </c>
      <c r="H136">
        <f t="shared" si="2"/>
        <v>2500</v>
      </c>
    </row>
    <row r="137" spans="1:8" ht="15" thickBot="1" x14ac:dyDescent="0.4">
      <c r="A137" s="3">
        <v>2022</v>
      </c>
      <c r="B137" s="3" t="s">
        <v>23</v>
      </c>
      <c r="C137" s="3">
        <v>150</v>
      </c>
      <c r="D137" s="3">
        <v>150</v>
      </c>
      <c r="E137" s="4">
        <v>30</v>
      </c>
      <c r="F137" s="4">
        <v>120</v>
      </c>
      <c r="G137" t="str" cm="1">
        <f t="array" ref="G137">_xlfn.IFS(
    OR(B137="Benue",B137="Kogi",B137="Kwara",B137="Nasarawa",B137="Niger",B137="Plateau",B137="FCT"),"North Central",
    OR(B137="Adamawa",B137="Bauchi",B137="Borno",B137="Gombe",B137="Taraba",B137="Yobe"),"North East",
    OR(B137="Kaduna",B137="Kano",B137="Katsina",B137="Kebbi",B137="Sokoto",B137="Zamfara","Jigawa"),"North West",
    OR(B137="Abia",B137="Anambra",B137="Ebonyi",B137="Enugu",B137="Imo"),"South East",
    OR(B137="Akwa Ibom",B137="Bayelsa",B137="Cross River",B137="Delta",B137="Edo",B137="Rivers"),"South South",
    OR(B137="Ekiti",B137="Lagos",B137="Ogun",B137="Ondo",B137="Osun",B137="Oyo"),"South West"
)</f>
        <v>North East</v>
      </c>
      <c r="H137">
        <f t="shared" si="2"/>
        <v>150</v>
      </c>
    </row>
    <row r="138" spans="1:8" x14ac:dyDescent="0.35">
      <c r="A138" s="5">
        <v>2022</v>
      </c>
      <c r="B138" s="5" t="s">
        <v>14</v>
      </c>
      <c r="C138">
        <v>490</v>
      </c>
      <c r="D138" s="5">
        <v>490</v>
      </c>
      <c r="E138" s="6">
        <v>10</v>
      </c>
      <c r="F138" s="6">
        <v>480</v>
      </c>
      <c r="G138" t="str" cm="1">
        <f t="array" ref="G138">_xlfn.IFS(
    OR(B138="Benue",B138="Kogi",B138="Kwara",B138="Nasarawa",B138="Niger",B138="Plateau",B138="FCT"),"North Central",
    OR(B138="Adamawa",B138="Bauchi",B138="Borno",B138="Gombe",B138="Taraba",B138="Yobe"),"North East",
    OR(B138="Kaduna",B138="Kano",B138="Katsina",B138="Kebbi",B138="Sokoto",B138="Zamfara","Jigawa"),"North West",
    OR(B138="Abia",B138="Anambra",B138="Ebonyi",B138="Enugu",B138="Imo"),"South East",
    OR(B138="Akwa Ibom",B138="Bayelsa",B138="Cross River",B138="Delta",B138="Edo",B138="Rivers"),"South South",
    OR(B138="Ekiti",B138="Lagos",B138="Ogun",B138="Ondo",B138="Osun",B138="Oyo"),"South West"
)</f>
        <v>North East</v>
      </c>
      <c r="H138">
        <f t="shared" si="2"/>
        <v>490</v>
      </c>
    </row>
    <row r="139" spans="1:8" x14ac:dyDescent="0.35">
      <c r="A139" s="5">
        <v>2022</v>
      </c>
      <c r="B139" s="5" t="s">
        <v>27</v>
      </c>
      <c r="C139">
        <v>8000</v>
      </c>
      <c r="D139" s="5">
        <v>8000</v>
      </c>
      <c r="E139" s="6">
        <v>500</v>
      </c>
      <c r="F139" s="6">
        <v>7500</v>
      </c>
      <c r="G139" t="str" cm="1">
        <f t="array" ref="G139">_xlfn.IFS(
    OR(B139="Benue",B139="Kogi",B139="Kwara",B139="Nasarawa",B139="Niger",B139="Plateau",B139="FCT"),"North Central",
    OR(B139="Adamawa",B139="Bauchi",B139="Borno",B139="Gombe",B139="Taraba",B139="Yobe"),"North East",
    OR(B139="Kaduna",B139="Kano",B139="Katsina",B139="Kebbi",B139="Sokoto",B139="Zamfara","Jigawa"),"North West",
    OR(B139="Abia",B139="Anambra",B139="Ebonyi",B139="Enugu",B139="Imo"),"South East",
    OR(B139="Akwa Ibom",B139="Bayelsa",B139="Cross River",B139="Delta",B139="Edo",B139="Rivers"),"South South",
    OR(B139="Ekiti",B139="Lagos",B139="Ogun",B139="Ondo",B139="Osun",B139="Oyo"),"South West"
)</f>
        <v>North West</v>
      </c>
      <c r="H139">
        <f t="shared" si="2"/>
        <v>8000</v>
      </c>
    </row>
    <row r="140" spans="1:8" x14ac:dyDescent="0.35">
      <c r="A140" s="5">
        <v>2022</v>
      </c>
      <c r="B140" s="5" t="s">
        <v>9</v>
      </c>
      <c r="C140">
        <v>150</v>
      </c>
      <c r="D140" s="5">
        <v>150</v>
      </c>
      <c r="E140" s="6">
        <v>47</v>
      </c>
      <c r="F140" s="6">
        <v>103</v>
      </c>
      <c r="G140" t="str" cm="1">
        <f t="array" ref="G140">_xlfn.IFS(
    OR(B140="Benue",B140="Kogi",B140="Kwara",B140="Nasarawa",B140="Niger",B140="Plateau",B140="FCT"),"North Central",
    OR(B140="Adamawa",B140="Bauchi",B140="Borno",B140="Gombe",B140="Taraba",B140="Yobe"),"North East",
    OR(B140="Kaduna",B140="Kano",B140="Katsina",B140="Kebbi",B140="Sokoto",B140="Zamfara","Jigawa"),"North West",
    OR(B140="Abia",B140="Anambra",B140="Ebonyi",B140="Enugu",B140="Imo"),"South East",
    OR(B140="Akwa Ibom",B140="Bayelsa",B140="Cross River",B140="Delta",B140="Edo",B140="Rivers"),"South South",
    OR(B140="Ekiti",B140="Lagos",B140="Ogun",B140="Ondo",B140="Osun",B140="Oyo"),"South West"
)</f>
        <v>North Central</v>
      </c>
      <c r="H140">
        <f t="shared" si="2"/>
        <v>150</v>
      </c>
    </row>
    <row r="141" spans="1:8" x14ac:dyDescent="0.35">
      <c r="A141" s="5">
        <v>2022</v>
      </c>
      <c r="B141" s="5" t="s">
        <v>17</v>
      </c>
      <c r="C141">
        <v>3000</v>
      </c>
      <c r="D141" s="5">
        <v>3000</v>
      </c>
      <c r="E141" s="6">
        <v>1000</v>
      </c>
      <c r="F141" s="6">
        <v>2000</v>
      </c>
      <c r="G141" t="str" cm="1">
        <f t="array" ref="G141">_xlfn.IFS(
    OR(B141="Benue",B141="Kogi",B141="Kwara",B141="Nasarawa",B141="Niger",B141="Plateau",B141="FCT"),"North Central",
    OR(B141="Adamawa",B141="Bauchi",B141="Borno",B141="Gombe",B141="Taraba",B141="Yobe"),"North East",
    OR(B141="Kaduna",B141="Kano",B141="Katsina",B141="Kebbi",B141="Sokoto",B141="Zamfara","Jigawa"),"North West",
    OR(B141="Abia",B141="Anambra",B141="Ebonyi",B141="Enugu",B141="Imo"),"South East",
    OR(B141="Akwa Ibom",B141="Bayelsa",B141="Cross River",B141="Delta",B141="Edo",B141="Rivers"),"South South",
    OR(B141="Ekiti",B141="Lagos",B141="Ogun",B141="Ondo",B141="Osun",B141="Oyo"),"South West"
)</f>
        <v>North Central</v>
      </c>
      <c r="H141">
        <f t="shared" si="2"/>
        <v>3000</v>
      </c>
    </row>
    <row r="142" spans="1:8" x14ac:dyDescent="0.35">
      <c r="A142" s="5">
        <v>2022</v>
      </c>
      <c r="B142" s="5" t="s">
        <v>17</v>
      </c>
      <c r="C142">
        <v>100</v>
      </c>
      <c r="D142" s="5">
        <v>100</v>
      </c>
      <c r="E142" s="6">
        <v>40</v>
      </c>
      <c r="F142" s="6">
        <v>60</v>
      </c>
      <c r="G142" t="str" cm="1">
        <f t="array" ref="G142">_xlfn.IFS(
    OR(B142="Benue",B142="Kogi",B142="Kwara",B142="Nasarawa",B142="Niger",B142="Plateau",B142="FCT"),"North Central",
    OR(B142="Adamawa",B142="Bauchi",B142="Borno",B142="Gombe",B142="Taraba",B142="Yobe"),"North East",
    OR(B142="Kaduna",B142="Kano",B142="Katsina",B142="Kebbi",B142="Sokoto",B142="Zamfara","Jigawa"),"North West",
    OR(B142="Abia",B142="Anambra",B142="Ebonyi",B142="Enugu",B142="Imo"),"South East",
    OR(B142="Akwa Ibom",B142="Bayelsa",B142="Cross River",B142="Delta",B142="Edo",B142="Rivers"),"South South",
    OR(B142="Ekiti",B142="Lagos",B142="Ogun",B142="Ondo",B142="Osun",B142="Oyo"),"South West"
)</f>
        <v>North Central</v>
      </c>
      <c r="H142">
        <f t="shared" si="2"/>
        <v>100</v>
      </c>
    </row>
    <row r="143" spans="1:8" x14ac:dyDescent="0.35">
      <c r="A143" s="5">
        <v>2022</v>
      </c>
      <c r="B143" s="5" t="s">
        <v>16</v>
      </c>
      <c r="C143">
        <v>2100</v>
      </c>
      <c r="D143" s="5">
        <v>2100</v>
      </c>
      <c r="E143" s="6">
        <v>400</v>
      </c>
      <c r="F143" s="6">
        <v>1700</v>
      </c>
      <c r="G143" t="str" cm="1">
        <f t="array" ref="G143">_xlfn.IFS(
    OR(B143="Benue",B143="Kogi",B143="Kwara",B143="Nasarawa",B143="Niger",B143="Plateau",B143="FCT"),"North Central",
    OR(B143="Adamawa",B143="Bauchi",B143="Borno",B143="Gombe",B143="Taraba",B143="Yobe"),"North East",
    OR(B143="Kaduna",B143="Kano",B143="Katsina",B143="Kebbi",B143="Sokoto",B143="Zamfara","Jigawa"),"North West",
    OR(B143="Abia",B143="Anambra",B143="Ebonyi",B143="Enugu",B143="Imo"),"South East",
    OR(B143="Akwa Ibom",B143="Bayelsa",B143="Cross River",B143="Delta",B143="Edo",B143="Rivers"),"South South",
    OR(B143="Ekiti",B143="Lagos",B143="Ogun",B143="Ondo",B143="Osun",B143="Oyo"),"South West"
)</f>
        <v>North West</v>
      </c>
      <c r="H143">
        <f t="shared" si="2"/>
        <v>2100</v>
      </c>
    </row>
    <row r="144" spans="1:8" x14ac:dyDescent="0.35">
      <c r="A144" s="5">
        <v>2022</v>
      </c>
      <c r="B144" s="5" t="s">
        <v>16</v>
      </c>
      <c r="C144">
        <v>575</v>
      </c>
      <c r="D144" s="5">
        <v>575</v>
      </c>
      <c r="E144" s="6">
        <v>575</v>
      </c>
      <c r="G144" t="str" cm="1">
        <f t="array" ref="G144">_xlfn.IFS(
    OR(B144="Benue",B144="Kogi",B144="Kwara",B144="Nasarawa",B144="Niger",B144="Plateau",B144="FCT"),"North Central",
    OR(B144="Adamawa",B144="Bauchi",B144="Borno",B144="Gombe",B144="Taraba",B144="Yobe"),"North East",
    OR(B144="Kaduna",B144="Kano",B144="Katsina",B144="Kebbi",B144="Sokoto",B144="Zamfara","Jigawa"),"North West",
    OR(B144="Abia",B144="Anambra",B144="Ebonyi",B144="Enugu",B144="Imo"),"South East",
    OR(B144="Akwa Ibom",B144="Bayelsa",B144="Cross River",B144="Delta",B144="Edo",B144="Rivers"),"South South",
    OR(B144="Ekiti",B144="Lagos",B144="Ogun",B144="Ondo",B144="Osun",B144="Oyo"),"South West"
)</f>
        <v>North West</v>
      </c>
      <c r="H144">
        <f t="shared" si="2"/>
        <v>575</v>
      </c>
    </row>
    <row r="145" spans="1:8" x14ac:dyDescent="0.35">
      <c r="A145" s="5">
        <v>2022</v>
      </c>
      <c r="B145" s="5" t="s">
        <v>16</v>
      </c>
      <c r="C145">
        <v>102345</v>
      </c>
      <c r="D145" s="5">
        <v>102345</v>
      </c>
      <c r="E145" s="6">
        <v>291</v>
      </c>
      <c r="F145" s="7">
        <v>102054</v>
      </c>
      <c r="G145" t="str" cm="1">
        <f t="array" ref="G145">_xlfn.IFS(
    OR(B145="Benue",B145="Kogi",B145="Kwara",B145="Nasarawa",B145="Niger",B145="Plateau",B145="FCT"),"North Central",
    OR(B145="Adamawa",B145="Bauchi",B145="Borno",B145="Gombe",B145="Taraba",B145="Yobe"),"North East",
    OR(B145="Kaduna",B145="Kano",B145="Katsina",B145="Kebbi",B145="Sokoto",B145="Zamfara","Jigawa"),"North West",
    OR(B145="Abia",B145="Anambra",B145="Ebonyi",B145="Enugu",B145="Imo"),"South East",
    OR(B145="Akwa Ibom",B145="Bayelsa",B145="Cross River",B145="Delta",B145="Edo",B145="Rivers"),"South South",
    OR(B145="Ekiti",B145="Lagos",B145="Ogun",B145="Ondo",B145="Osun",B145="Oyo"),"South West"
)</f>
        <v>North West</v>
      </c>
      <c r="H145">
        <f t="shared" si="2"/>
        <v>102345</v>
      </c>
    </row>
    <row r="146" spans="1:8" x14ac:dyDescent="0.35">
      <c r="A146" s="5">
        <v>2022</v>
      </c>
      <c r="B146" s="5" t="s">
        <v>6</v>
      </c>
      <c r="C146">
        <v>500</v>
      </c>
      <c r="D146" s="5">
        <v>500</v>
      </c>
      <c r="E146" s="6">
        <v>100</v>
      </c>
      <c r="F146" s="7">
        <v>400</v>
      </c>
      <c r="G146" t="str" cm="1">
        <f t="array" ref="G146">_xlfn.IFS(
    OR(B146="Benue",B146="Kogi",B146="Kwara",B146="Nasarawa",B146="Niger",B146="Plateau",B146="FCT"),"North Central",
    OR(B146="Adamawa",B146="Bauchi",B146="Borno",B146="Gombe",B146="Taraba",B146="Yobe"),"North East",
    OR(B146="Kaduna",B146="Kano",B146="Katsina",B146="Kebbi",B146="Sokoto",B146="Zamfara","Jigawa"),"North West",
    OR(B146="Abia",B146="Anambra",B146="Ebonyi",B146="Enugu",B146="Imo"),"South East",
    OR(B146="Akwa Ibom",B146="Bayelsa",B146="Cross River",B146="Delta",B146="Edo",B146="Rivers"),"South South",
    OR(B146="Ekiti",B146="Lagos",B146="Ogun",B146="Ondo",B146="Osun",B146="Oyo"),"South West"
)</f>
        <v>North West</v>
      </c>
      <c r="H146">
        <f t="shared" si="2"/>
        <v>500</v>
      </c>
    </row>
    <row r="147" spans="1:8" x14ac:dyDescent="0.35">
      <c r="A147" s="5">
        <v>2022</v>
      </c>
      <c r="B147" s="5" t="s">
        <v>6</v>
      </c>
      <c r="C147">
        <v>2989</v>
      </c>
      <c r="D147" s="5">
        <v>2989</v>
      </c>
      <c r="E147" s="6">
        <v>380</v>
      </c>
      <c r="F147" s="7">
        <v>2609</v>
      </c>
      <c r="G147" t="str" cm="1">
        <f t="array" ref="G147">_xlfn.IFS(
    OR(B147="Benue",B147="Kogi",B147="Kwara",B147="Nasarawa",B147="Niger",B147="Plateau",B147="FCT"),"North Central",
    OR(B147="Adamawa",B147="Bauchi",B147="Borno",B147="Gombe",B147="Taraba",B147="Yobe"),"North East",
    OR(B147="Kaduna",B147="Kano",B147="Katsina",B147="Kebbi",B147="Sokoto",B147="Zamfara","Jigawa"),"North West",
    OR(B147="Abia",B147="Anambra",B147="Ebonyi",B147="Enugu",B147="Imo"),"South East",
    OR(B147="Akwa Ibom",B147="Bayelsa",B147="Cross River",B147="Delta",B147="Edo",B147="Rivers"),"South South",
    OR(B147="Ekiti",B147="Lagos",B147="Ogun",B147="Ondo",B147="Osun",B147="Oyo"),"South West"
)</f>
        <v>North West</v>
      </c>
      <c r="H147">
        <f t="shared" si="2"/>
        <v>2989</v>
      </c>
    </row>
    <row r="148" spans="1:8" x14ac:dyDescent="0.35">
      <c r="A148" s="5">
        <v>2022</v>
      </c>
      <c r="B148" s="5" t="s">
        <v>6</v>
      </c>
      <c r="C148">
        <v>4100</v>
      </c>
      <c r="D148" s="5">
        <v>4100</v>
      </c>
      <c r="E148" s="6">
        <v>150</v>
      </c>
      <c r="F148" s="7">
        <v>3950</v>
      </c>
      <c r="G148" t="str" cm="1">
        <f t="array" ref="G148">_xlfn.IFS(
    OR(B148="Benue",B148="Kogi",B148="Kwara",B148="Nasarawa",B148="Niger",B148="Plateau",B148="FCT"),"North Central",
    OR(B148="Adamawa",B148="Bauchi",B148="Borno",B148="Gombe",B148="Taraba",B148="Yobe"),"North East",
    OR(B148="Kaduna",B148="Kano",B148="Katsina",B148="Kebbi",B148="Sokoto",B148="Zamfara","Jigawa"),"North West",
    OR(B148="Abia",B148="Anambra",B148="Ebonyi",B148="Enugu",B148="Imo"),"South East",
    OR(B148="Akwa Ibom",B148="Bayelsa",B148="Cross River",B148="Delta",B148="Edo",B148="Rivers"),"South South",
    OR(B148="Ekiti",B148="Lagos",B148="Ogun",B148="Ondo",B148="Osun",B148="Oyo"),"South West"
)</f>
        <v>North West</v>
      </c>
      <c r="H148">
        <f t="shared" si="2"/>
        <v>4100</v>
      </c>
    </row>
    <row r="149" spans="1:8" x14ac:dyDescent="0.35">
      <c r="A149" s="5">
        <v>2021</v>
      </c>
      <c r="B149" s="5" t="s">
        <v>22</v>
      </c>
      <c r="C149">
        <v>1250</v>
      </c>
      <c r="D149" s="5">
        <v>1250</v>
      </c>
      <c r="E149" s="6">
        <v>110</v>
      </c>
      <c r="F149" s="7">
        <v>1140</v>
      </c>
      <c r="G149" t="str" cm="1">
        <f t="array" ref="G149">_xlfn.IFS(
    OR(B149="Benue",B149="Kogi",B149="Kwara",B149="Nasarawa",B149="Niger",B149="Plateau",B149="FCT"),"North Central",
    OR(B149="Adamawa",B149="Bauchi",B149="Borno",B149="Gombe",B149="Taraba",B149="Yobe"),"North East",
    OR(B149="Kaduna",B149="Kano",B149="Katsina",B149="Kebbi",B149="Sokoto",B149="Zamfara","Jigawa"),"North West",
    OR(B149="Abia",B149="Anambra",B149="Ebonyi",B149="Enugu",B149="Imo"),"South East",
    OR(B149="Akwa Ibom",B149="Bayelsa",B149="Cross River",B149="Delta",B149="Edo",B149="Rivers"),"South South",
    OR(B149="Ekiti",B149="Lagos",B149="Ogun",B149="Ondo",B149="Osun",B149="Oyo"),"South West"
)</f>
        <v>South South</v>
      </c>
      <c r="H149">
        <f t="shared" si="2"/>
        <v>1250</v>
      </c>
    </row>
    <row r="150" spans="1:8" x14ac:dyDescent="0.35">
      <c r="A150" s="5">
        <v>2021</v>
      </c>
      <c r="B150" s="5" t="s">
        <v>24</v>
      </c>
      <c r="C150">
        <v>5210</v>
      </c>
      <c r="D150" s="5">
        <v>5210</v>
      </c>
      <c r="E150" s="6">
        <v>481</v>
      </c>
      <c r="F150" s="7">
        <v>4729</v>
      </c>
      <c r="G150" t="str" cm="1">
        <f t="array" ref="G150">_xlfn.IFS(
    OR(B150="Benue",B150="Kogi",B150="Kwara",B150="Nasarawa",B150="Niger",B150="Plateau",B150="FCT"),"North Central",
    OR(B150="Adamawa",B150="Bauchi",B150="Borno",B150="Gombe",B150="Taraba",B150="Yobe"),"North East",
    OR(B150="Kaduna",B150="Kano",B150="Katsina",B150="Kebbi",B150="Sokoto",B150="Zamfara","Jigawa"),"North West",
    OR(B150="Abia",B150="Anambra",B150="Ebonyi",B150="Enugu",B150="Imo"),"South East",
    OR(B150="Akwa Ibom",B150="Bayelsa",B150="Cross River",B150="Delta",B150="Edo",B150="Rivers"),"South South",
    OR(B150="Ekiti",B150="Lagos",B150="Ogun",B150="Ondo",B150="Osun",B150="Oyo"),"South West"
)</f>
        <v>North West</v>
      </c>
      <c r="H150">
        <f t="shared" si="2"/>
        <v>5210</v>
      </c>
    </row>
    <row r="151" spans="1:8" x14ac:dyDescent="0.35">
      <c r="A151" s="5">
        <v>2022</v>
      </c>
      <c r="B151" s="5" t="s">
        <v>24</v>
      </c>
      <c r="C151">
        <v>9400</v>
      </c>
      <c r="D151" s="5">
        <v>9400</v>
      </c>
      <c r="E151" s="6">
        <v>3536</v>
      </c>
      <c r="F151" s="7">
        <v>5864</v>
      </c>
      <c r="G151" t="str" cm="1">
        <f t="array" ref="G151">_xlfn.IFS(
    OR(B151="Benue",B151="Kogi",B151="Kwara",B151="Nasarawa",B151="Niger",B151="Plateau",B151="FCT"),"North Central",
    OR(B151="Adamawa",B151="Bauchi",B151="Borno",B151="Gombe",B151="Taraba",B151="Yobe"),"North East",
    OR(B151="Kaduna",B151="Kano",B151="Katsina",B151="Kebbi",B151="Sokoto",B151="Zamfara","Jigawa"),"North West",
    OR(B151="Abia",B151="Anambra",B151="Ebonyi",B151="Enugu",B151="Imo"),"South East",
    OR(B151="Akwa Ibom",B151="Bayelsa",B151="Cross River",B151="Delta",B151="Edo",B151="Rivers"),"South South",
    OR(B151="Ekiti",B151="Lagos",B151="Ogun",B151="Ondo",B151="Osun",B151="Oyo"),"South West"
)</f>
        <v>North West</v>
      </c>
      <c r="H151">
        <f t="shared" si="2"/>
        <v>9400</v>
      </c>
    </row>
    <row r="152" spans="1:8" x14ac:dyDescent="0.35">
      <c r="A152" s="5">
        <v>2022</v>
      </c>
      <c r="B152" s="5" t="s">
        <v>6</v>
      </c>
      <c r="C152">
        <v>1650</v>
      </c>
      <c r="D152" s="5">
        <v>1650</v>
      </c>
      <c r="E152" s="6">
        <v>150</v>
      </c>
      <c r="F152" s="7">
        <v>1500</v>
      </c>
      <c r="G152" t="str" cm="1">
        <f t="array" ref="G152">_xlfn.IFS(
    OR(B152="Benue",B152="Kogi",B152="Kwara",B152="Nasarawa",B152="Niger",B152="Plateau",B152="FCT"),"North Central",
    OR(B152="Adamawa",B152="Bauchi",B152="Borno",B152="Gombe",B152="Taraba",B152="Yobe"),"North East",
    OR(B152="Kaduna",B152="Kano",B152="Katsina",B152="Kebbi",B152="Sokoto",B152="Zamfara","Jigawa"),"North West",
    OR(B152="Abia",B152="Anambra",B152="Ebonyi",B152="Enugu",B152="Imo"),"South East",
    OR(B152="Akwa Ibom",B152="Bayelsa",B152="Cross River",B152="Delta",B152="Edo",B152="Rivers"),"South South",
    OR(B152="Ekiti",B152="Lagos",B152="Ogun",B152="Ondo",B152="Osun",B152="Oyo"),"South West"
)</f>
        <v>North West</v>
      </c>
      <c r="H152">
        <f t="shared" si="2"/>
        <v>1650</v>
      </c>
    </row>
    <row r="153" spans="1:8" x14ac:dyDescent="0.35">
      <c r="A153" s="5">
        <v>2022</v>
      </c>
      <c r="B153" s="5" t="s">
        <v>6</v>
      </c>
      <c r="C153">
        <v>3000</v>
      </c>
      <c r="D153" s="5">
        <v>3000</v>
      </c>
      <c r="E153" s="6">
        <v>570</v>
      </c>
      <c r="F153" s="7">
        <v>2430</v>
      </c>
      <c r="G153" t="str" cm="1">
        <f t="array" ref="G153">_xlfn.IFS(
    OR(B153="Benue",B153="Kogi",B153="Kwara",B153="Nasarawa",B153="Niger",B153="Plateau",B153="FCT"),"North Central",
    OR(B153="Adamawa",B153="Bauchi",B153="Borno",B153="Gombe",B153="Taraba",B153="Yobe"),"North East",
    OR(B153="Kaduna",B153="Kano",B153="Katsina",B153="Kebbi",B153="Sokoto",B153="Zamfara","Jigawa"),"North West",
    OR(B153="Abia",B153="Anambra",B153="Ebonyi",B153="Enugu",B153="Imo"),"South East",
    OR(B153="Akwa Ibom",B153="Bayelsa",B153="Cross River",B153="Delta",B153="Edo",B153="Rivers"),"South South",
    OR(B153="Ekiti",B153="Lagos",B153="Ogun",B153="Ondo",B153="Osun",B153="Oyo"),"South West"
)</f>
        <v>North West</v>
      </c>
      <c r="H153">
        <f t="shared" si="2"/>
        <v>3000</v>
      </c>
    </row>
    <row r="154" spans="1:8" ht="29" x14ac:dyDescent="0.35">
      <c r="A154" s="5">
        <v>2022</v>
      </c>
      <c r="B154" s="5" t="s">
        <v>28</v>
      </c>
      <c r="C154">
        <v>10000</v>
      </c>
      <c r="D154" s="5">
        <v>10000</v>
      </c>
      <c r="E154" s="6">
        <v>5100</v>
      </c>
      <c r="F154" s="7">
        <v>4900</v>
      </c>
      <c r="G154" t="str" cm="1">
        <f t="array" ref="G154">_xlfn.IFS(
    OR(B154="Benue",B154="Kogi",B154="Kwara",B154="Nasarawa",B154="Niger",B154="Plateau",B154="FCT"),"North Central",
    OR(B154="Adamawa",B154="Bauchi",B154="Borno",B154="Gombe",B154="Taraba",B154="Yobe"),"North East",
    OR(B154="Kaduna",B154="Kano",B154="Katsina",B154="Kebbi",B154="Sokoto",B154="Zamfara","Jigawa"),"North West",
    OR(B154="Abia",B154="Anambra",B154="Ebonyi",B154="Enugu",B154="Imo"),"South East",
    OR(B154="Akwa Ibom",B154="Bayelsa",B154="Cross River",B154="Delta",B154="Edo",B154="Rivers"),"South South",
    OR(B154="Ekiti",B154="Lagos",B154="Ogun",B154="Ondo",B154="Osun",B154="Oyo"),"South West"
)</f>
        <v>North Central</v>
      </c>
      <c r="H154">
        <f t="shared" si="2"/>
        <v>10000</v>
      </c>
    </row>
    <row r="155" spans="1:8" x14ac:dyDescent="0.35">
      <c r="A155" s="5">
        <v>2022</v>
      </c>
      <c r="B155" s="5" t="s">
        <v>29</v>
      </c>
      <c r="C155">
        <v>3000</v>
      </c>
      <c r="D155" s="5">
        <v>3000</v>
      </c>
      <c r="E155" s="6">
        <v>150</v>
      </c>
      <c r="F155" s="7">
        <v>2850</v>
      </c>
      <c r="G155" t="str" cm="1">
        <f t="array" ref="G155">_xlfn.IFS(
    OR(B155="Benue",B155="Kogi",B155="Kwara",B155="Nasarawa",B155="Niger",B155="Plateau",B155="FCT"),"North Central",
    OR(B155="Adamawa",B155="Bauchi",B155="Borno",B155="Gombe",B155="Taraba",B155="Yobe"),"North East",
    OR(B155="Kaduna",B155="Kano",B155="Katsina",B155="Kebbi",B155="Sokoto",B155="Zamfara","Jigawa"),"North West",
    OR(B155="Abia",B155="Anambra",B155="Ebonyi",B155="Enugu",B155="Imo"),"South East",
    OR(B155="Akwa Ibom",B155="Bayelsa",B155="Cross River",B155="Delta",B155="Edo",B155="Rivers"),"South South",
    OR(B155="Ekiti",B155="Lagos",B155="Ogun",B155="Ondo",B155="Osun",B155="Oyo"),"South West"
)</f>
        <v>South East</v>
      </c>
      <c r="H155">
        <f t="shared" si="2"/>
        <v>3000</v>
      </c>
    </row>
    <row r="156" spans="1:8" x14ac:dyDescent="0.35">
      <c r="A156" s="5">
        <v>2022</v>
      </c>
      <c r="B156" s="5" t="s">
        <v>30</v>
      </c>
      <c r="C156">
        <v>500</v>
      </c>
      <c r="D156" s="5">
        <v>500</v>
      </c>
      <c r="E156" s="6">
        <v>100</v>
      </c>
      <c r="F156" s="7">
        <v>400</v>
      </c>
      <c r="G156" t="str" cm="1">
        <f t="array" ref="G156">_xlfn.IFS(
    OR(B156="Benue",B156="Kogi",B156="Kwara",B156="Nasarawa",B156="Niger",B156="Plateau",B156="FCT"),"North Central",
    OR(B156="Adamawa",B156="Bauchi",B156="Borno",B156="Gombe",B156="Taraba",B156="Yobe"),"North East",
    OR(B156="Kaduna",B156="Kano",B156="Katsina",B156="Kebbi",B156="Sokoto",B156="Zamfara","Jigawa"),"North West",
    OR(B156="Abia",B156="Anambra",B156="Ebonyi",B156="Enugu",B156="Imo"),"South East",
    OR(B156="Akwa Ibom",B156="Bayelsa",B156="Cross River",B156="Delta",B156="Edo",B156="Rivers"),"South South",
    OR(B156="Ekiti",B156="Lagos",B156="Ogun",B156="Ondo",B156="Osun",B156="Oyo"),"South West"
)</f>
        <v>South East</v>
      </c>
      <c r="H156">
        <f t="shared" si="2"/>
        <v>500</v>
      </c>
    </row>
    <row r="157" spans="1:8" x14ac:dyDescent="0.35">
      <c r="A157" s="5">
        <v>2022</v>
      </c>
      <c r="B157" s="5" t="s">
        <v>6</v>
      </c>
      <c r="C157">
        <v>950</v>
      </c>
      <c r="D157" s="5">
        <v>950</v>
      </c>
      <c r="E157" s="6">
        <v>85</v>
      </c>
      <c r="F157" s="7">
        <v>865</v>
      </c>
      <c r="G157" t="str" cm="1">
        <f t="array" ref="G157">_xlfn.IFS(
    OR(B157="Benue",B157="Kogi",B157="Kwara",B157="Nasarawa",B157="Niger",B157="Plateau",B157="FCT"),"North Central",
    OR(B157="Adamawa",B157="Bauchi",B157="Borno",B157="Gombe",B157="Taraba",B157="Yobe"),"North East",
    OR(B157="Kaduna",B157="Kano",B157="Katsina",B157="Kebbi",B157="Sokoto",B157="Zamfara","Jigawa"),"North West",
    OR(B157="Abia",B157="Anambra",B157="Ebonyi",B157="Enugu",B157="Imo"),"South East",
    OR(B157="Akwa Ibom",B157="Bayelsa",B157="Cross River",B157="Delta",B157="Edo",B157="Rivers"),"South South",
    OR(B157="Ekiti",B157="Lagos",B157="Ogun",B157="Ondo",B157="Osun",B157="Oyo"),"South West"
)</f>
        <v>North West</v>
      </c>
      <c r="H157">
        <f t="shared" si="2"/>
        <v>950</v>
      </c>
    </row>
    <row r="158" spans="1:8" x14ac:dyDescent="0.35">
      <c r="A158" s="5">
        <v>2022</v>
      </c>
      <c r="B158" s="5" t="s">
        <v>6</v>
      </c>
      <c r="C158">
        <v>2700</v>
      </c>
      <c r="D158" s="5">
        <v>2700</v>
      </c>
      <c r="E158" s="6">
        <v>540</v>
      </c>
      <c r="F158" s="7">
        <v>2160</v>
      </c>
      <c r="G158" t="str" cm="1">
        <f t="array" ref="G158">_xlfn.IFS(
    OR(B158="Benue",B158="Kogi",B158="Kwara",B158="Nasarawa",B158="Niger",B158="Plateau",B158="FCT"),"North Central",
    OR(B158="Adamawa",B158="Bauchi",B158="Borno",B158="Gombe",B158="Taraba",B158="Yobe"),"North East",
    OR(B158="Kaduna",B158="Kano",B158="Katsina",B158="Kebbi",B158="Sokoto",B158="Zamfara","Jigawa"),"North West",
    OR(B158="Abia",B158="Anambra",B158="Ebonyi",B158="Enugu",B158="Imo"),"South East",
    OR(B158="Akwa Ibom",B158="Bayelsa",B158="Cross River",B158="Delta",B158="Edo",B158="Rivers"),"South South",
    OR(B158="Ekiti",B158="Lagos",B158="Ogun",B158="Ondo",B158="Osun",B158="Oyo"),"South West"
)</f>
        <v>North West</v>
      </c>
      <c r="H158">
        <f t="shared" si="2"/>
        <v>2700</v>
      </c>
    </row>
    <row r="159" spans="1:8" x14ac:dyDescent="0.35">
      <c r="A159" s="5">
        <v>2022</v>
      </c>
      <c r="B159" s="5" t="s">
        <v>6</v>
      </c>
      <c r="C159">
        <v>1500</v>
      </c>
      <c r="D159" s="5">
        <v>1500</v>
      </c>
      <c r="E159" s="6">
        <v>180</v>
      </c>
      <c r="F159" s="7">
        <v>1320</v>
      </c>
      <c r="G159" t="str" cm="1">
        <f t="array" ref="G159">_xlfn.IFS(
    OR(B159="Benue",B159="Kogi",B159="Kwara",B159="Nasarawa",B159="Niger",B159="Plateau",B159="FCT"),"North Central",
    OR(B159="Adamawa",B159="Bauchi",B159="Borno",B159="Gombe",B159="Taraba",B159="Yobe"),"North East",
    OR(B159="Kaduna",B159="Kano",B159="Katsina",B159="Kebbi",B159="Sokoto",B159="Zamfara","Jigawa"),"North West",
    OR(B159="Abia",B159="Anambra",B159="Ebonyi",B159="Enugu",B159="Imo"),"South East",
    OR(B159="Akwa Ibom",B159="Bayelsa",B159="Cross River",B159="Delta",B159="Edo",B159="Rivers"),"South South",
    OR(B159="Ekiti",B159="Lagos",B159="Ogun",B159="Ondo",B159="Osun",B159="Oyo"),"South West"
)</f>
        <v>North West</v>
      </c>
      <c r="H159">
        <f t="shared" si="2"/>
        <v>1500</v>
      </c>
    </row>
    <row r="160" spans="1:8" x14ac:dyDescent="0.35">
      <c r="A160" s="5">
        <v>2021</v>
      </c>
      <c r="B160" s="5" t="s">
        <v>9</v>
      </c>
      <c r="C160">
        <v>7000</v>
      </c>
      <c r="D160" s="5">
        <v>7000</v>
      </c>
      <c r="E160" s="6">
        <v>15</v>
      </c>
      <c r="F160" s="7">
        <v>6985</v>
      </c>
      <c r="G160" t="str" cm="1">
        <f t="array" ref="G160">_xlfn.IFS(
    OR(B160="Benue",B160="Kogi",B160="Kwara",B160="Nasarawa",B160="Niger",B160="Plateau",B160="FCT"),"North Central",
    OR(B160="Adamawa",B160="Bauchi",B160="Borno",B160="Gombe",B160="Taraba",B160="Yobe"),"North East",
    OR(B160="Kaduna",B160="Kano",B160="Katsina",B160="Kebbi",B160="Sokoto",B160="Zamfara","Jigawa"),"North West",
    OR(B160="Abia",B160="Anambra",B160="Ebonyi",B160="Enugu",B160="Imo"),"South East",
    OR(B160="Akwa Ibom",B160="Bayelsa",B160="Cross River",B160="Delta",B160="Edo",B160="Rivers"),"South South",
    OR(B160="Ekiti",B160="Lagos",B160="Ogun",B160="Ondo",B160="Osun",B160="Oyo"),"South West"
)</f>
        <v>North Central</v>
      </c>
      <c r="H160">
        <f t="shared" si="2"/>
        <v>7000</v>
      </c>
    </row>
    <row r="161" spans="1:8" x14ac:dyDescent="0.35">
      <c r="A161" s="5">
        <v>2022</v>
      </c>
      <c r="B161" s="5" t="s">
        <v>9</v>
      </c>
      <c r="C161">
        <v>120</v>
      </c>
      <c r="D161" s="5">
        <v>120</v>
      </c>
      <c r="E161" s="6">
        <v>14</v>
      </c>
      <c r="F161" s="7">
        <v>106</v>
      </c>
      <c r="G161" t="str" cm="1">
        <f t="array" ref="G161">_xlfn.IFS(
    OR(B161="Benue",B161="Kogi",B161="Kwara",B161="Nasarawa",B161="Niger",B161="Plateau",B161="FCT"),"North Central",
    OR(B161="Adamawa",B161="Bauchi",B161="Borno",B161="Gombe",B161="Taraba",B161="Yobe"),"North East",
    OR(B161="Kaduna",B161="Kano",B161="Katsina",B161="Kebbi",B161="Sokoto",B161="Zamfara","Jigawa"),"North West",
    OR(B161="Abia",B161="Anambra",B161="Ebonyi",B161="Enugu",B161="Imo"),"South East",
    OR(B161="Akwa Ibom",B161="Bayelsa",B161="Cross River",B161="Delta",B161="Edo",B161="Rivers"),"South South",
    OR(B161="Ekiti",B161="Lagos",B161="Ogun",B161="Ondo",B161="Osun",B161="Oyo"),"South West"
)</f>
        <v>North Central</v>
      </c>
      <c r="H161">
        <f t="shared" si="2"/>
        <v>120</v>
      </c>
    </row>
    <row r="162" spans="1:8" x14ac:dyDescent="0.35">
      <c r="A162" s="5">
        <v>2022</v>
      </c>
      <c r="B162" s="5" t="s">
        <v>9</v>
      </c>
      <c r="C162">
        <v>1700</v>
      </c>
      <c r="D162" s="5">
        <v>1700</v>
      </c>
      <c r="E162" s="6">
        <v>60</v>
      </c>
      <c r="F162" s="7">
        <v>1640</v>
      </c>
      <c r="G162" t="str" cm="1">
        <f t="array" ref="G162">_xlfn.IFS(
    OR(B162="Benue",B162="Kogi",B162="Kwara",B162="Nasarawa",B162="Niger",B162="Plateau",B162="FCT"),"North Central",
    OR(B162="Adamawa",B162="Bauchi",B162="Borno",B162="Gombe",B162="Taraba",B162="Yobe"),"North East",
    OR(B162="Kaduna",B162="Kano",B162="Katsina",B162="Kebbi",B162="Sokoto",B162="Zamfara","Jigawa"),"North West",
    OR(B162="Abia",B162="Anambra",B162="Ebonyi",B162="Enugu",B162="Imo"),"South East",
    OR(B162="Akwa Ibom",B162="Bayelsa",B162="Cross River",B162="Delta",B162="Edo",B162="Rivers"),"South South",
    OR(B162="Ekiti",B162="Lagos",B162="Ogun",B162="Ondo",B162="Osun",B162="Oyo"),"South West"
)</f>
        <v>North Central</v>
      </c>
      <c r="H162">
        <f t="shared" si="2"/>
        <v>1700</v>
      </c>
    </row>
    <row r="163" spans="1:8" x14ac:dyDescent="0.35">
      <c r="A163" s="5">
        <v>2022</v>
      </c>
      <c r="B163" s="5" t="s">
        <v>24</v>
      </c>
      <c r="C163">
        <v>3300</v>
      </c>
      <c r="D163" s="5">
        <v>3300</v>
      </c>
      <c r="E163" s="6">
        <v>383</v>
      </c>
      <c r="F163" s="7">
        <v>2917</v>
      </c>
      <c r="G163" t="str" cm="1">
        <f t="array" ref="G163">_xlfn.IFS(
    OR(B163="Benue",B163="Kogi",B163="Kwara",B163="Nasarawa",B163="Niger",B163="Plateau",B163="FCT"),"North Central",
    OR(B163="Adamawa",B163="Bauchi",B163="Borno",B163="Gombe",B163="Taraba",B163="Yobe"),"North East",
    OR(B163="Kaduna",B163="Kano",B163="Katsina",B163="Kebbi",B163="Sokoto",B163="Zamfara","Jigawa"),"North West",
    OR(B163="Abia",B163="Anambra",B163="Ebonyi",B163="Enugu",B163="Imo"),"South East",
    OR(B163="Akwa Ibom",B163="Bayelsa",B163="Cross River",B163="Delta",B163="Edo",B163="Rivers"),"South South",
    OR(B163="Ekiti",B163="Lagos",B163="Ogun",B163="Ondo",B163="Osun",B163="Oyo"),"South West"
)</f>
        <v>North West</v>
      </c>
      <c r="H163">
        <f t="shared" si="2"/>
        <v>3300</v>
      </c>
    </row>
    <row r="164" spans="1:8" x14ac:dyDescent="0.35">
      <c r="A164" s="5">
        <v>2022</v>
      </c>
      <c r="B164" s="5" t="s">
        <v>31</v>
      </c>
      <c r="C164">
        <v>3000</v>
      </c>
      <c r="D164" s="5">
        <v>3000</v>
      </c>
      <c r="E164" s="6">
        <v>800</v>
      </c>
      <c r="F164" s="7">
        <v>2200</v>
      </c>
      <c r="G164" t="str" cm="1">
        <f t="array" ref="G164">_xlfn.IFS(
    OR(B164="Benue",B164="Kogi",B164="Kwara",B164="Nasarawa",B164="Niger",B164="Plateau",B164="FCT"),"North Central",
    OR(B164="Adamawa",B164="Bauchi",B164="Borno",B164="Gombe",B164="Taraba",B164="Yobe"),"North East",
    OR(B164="Kaduna",B164="Kano",B164="Katsina",B164="Kebbi",B164="Sokoto",B164="Zamfara","Jigawa"),"North West",
    OR(B164="Abia",B164="Anambra",B164="Ebonyi",B164="Enugu",B164="Imo"),"South East",
    OR(B164="Akwa Ibom",B164="Bayelsa",B164="Cross River",B164="Delta",B164="Edo",B164="Rivers"),"South South",
    OR(B164="Ekiti",B164="Lagos",B164="Ogun",B164="Ondo",B164="Osun",B164="Oyo"),"South West"
)</f>
        <v>South East</v>
      </c>
      <c r="H164">
        <f t="shared" si="2"/>
        <v>3000</v>
      </c>
    </row>
    <row r="165" spans="1:8" x14ac:dyDescent="0.35">
      <c r="A165" s="5">
        <v>2021</v>
      </c>
      <c r="B165" s="5" t="s">
        <v>6</v>
      </c>
      <c r="C165">
        <v>20000</v>
      </c>
      <c r="D165" s="5">
        <v>20000</v>
      </c>
      <c r="E165" s="6">
        <v>5000</v>
      </c>
      <c r="F165" s="7">
        <v>15000</v>
      </c>
      <c r="G165" t="str" cm="1">
        <f t="array" ref="G165">_xlfn.IFS(
    OR(B165="Benue",B165="Kogi",B165="Kwara",B165="Nasarawa",B165="Niger",B165="Plateau",B165="FCT"),"North Central",
    OR(B165="Adamawa",B165="Bauchi",B165="Borno",B165="Gombe",B165="Taraba",B165="Yobe"),"North East",
    OR(B165="Kaduna",B165="Kano",B165="Katsina",B165="Kebbi",B165="Sokoto",B165="Zamfara","Jigawa"),"North West",
    OR(B165="Abia",B165="Anambra",B165="Ebonyi",B165="Enugu",B165="Imo"),"South East",
    OR(B165="Akwa Ibom",B165="Bayelsa",B165="Cross River",B165="Delta",B165="Edo",B165="Rivers"),"South South",
    OR(B165="Ekiti",B165="Lagos",B165="Ogun",B165="Ondo",B165="Osun",B165="Oyo"),"South West"
)</f>
        <v>North West</v>
      </c>
      <c r="H165">
        <f t="shared" si="2"/>
        <v>20000</v>
      </c>
    </row>
    <row r="166" spans="1:8" x14ac:dyDescent="0.35">
      <c r="A166" s="5">
        <v>2021</v>
      </c>
      <c r="B166" s="5" t="s">
        <v>6</v>
      </c>
      <c r="C166">
        <v>39900</v>
      </c>
      <c r="D166" s="5">
        <v>39900</v>
      </c>
      <c r="E166" s="6">
        <v>9000</v>
      </c>
      <c r="F166" s="7">
        <v>30900</v>
      </c>
      <c r="G166" t="str" cm="1">
        <f t="array" ref="G166">_xlfn.IFS(
    OR(B166="Benue",B166="Kogi",B166="Kwara",B166="Nasarawa",B166="Niger",B166="Plateau",B166="FCT"),"North Central",
    OR(B166="Adamawa",B166="Bauchi",B166="Borno",B166="Gombe",B166="Taraba",B166="Yobe"),"North East",
    OR(B166="Kaduna",B166="Kano",B166="Katsina",B166="Kebbi",B166="Sokoto",B166="Zamfara","Jigawa"),"North West",
    OR(B166="Abia",B166="Anambra",B166="Ebonyi",B166="Enugu",B166="Imo"),"South East",
    OR(B166="Akwa Ibom",B166="Bayelsa",B166="Cross River",B166="Delta",B166="Edo",B166="Rivers"),"South South",
    OR(B166="Ekiti",B166="Lagos",B166="Ogun",B166="Ondo",B166="Osun",B166="Oyo"),"South West"
)</f>
        <v>North West</v>
      </c>
      <c r="H166">
        <f t="shared" si="2"/>
        <v>39900</v>
      </c>
    </row>
    <row r="167" spans="1:8" x14ac:dyDescent="0.35">
      <c r="A167" s="5">
        <v>2022</v>
      </c>
      <c r="B167" s="5" t="s">
        <v>8</v>
      </c>
      <c r="C167">
        <v>105</v>
      </c>
      <c r="D167" s="5">
        <v>105</v>
      </c>
      <c r="E167" s="6">
        <v>75</v>
      </c>
      <c r="F167" s="7">
        <v>30</v>
      </c>
      <c r="G167" t="str" cm="1">
        <f t="array" ref="G167">_xlfn.IFS(
    OR(B167="Benue",B167="Kogi",B167="Kwara",B167="Nasarawa",B167="Niger",B167="Plateau",B167="FCT"),"North Central",
    OR(B167="Adamawa",B167="Bauchi",B167="Borno",B167="Gombe",B167="Taraba",B167="Yobe"),"North East",
    OR(B167="Kaduna",B167="Kano",B167="Katsina",B167="Kebbi",B167="Sokoto",B167="Zamfara","Jigawa"),"North West",
    OR(B167="Abia",B167="Anambra",B167="Ebonyi",B167="Enugu",B167="Imo"),"South East",
    OR(B167="Akwa Ibom",B167="Bayelsa",B167="Cross River",B167="Delta",B167="Edo",B167="Rivers"),"South South",
    OR(B167="Ekiti",B167="Lagos",B167="Ogun",B167="Ondo",B167="Osun",B167="Oyo"),"South West"
)</f>
        <v>North West</v>
      </c>
      <c r="H167">
        <f t="shared" si="2"/>
        <v>105</v>
      </c>
    </row>
    <row r="168" spans="1:8" x14ac:dyDescent="0.35">
      <c r="A168" s="5">
        <v>2022</v>
      </c>
      <c r="B168" s="5" t="s">
        <v>20</v>
      </c>
      <c r="C168">
        <v>5</v>
      </c>
      <c r="D168" s="5">
        <v>5</v>
      </c>
      <c r="E168" s="6">
        <v>4</v>
      </c>
      <c r="F168" s="7">
        <v>1</v>
      </c>
      <c r="G168" t="str" cm="1">
        <f t="array" ref="G168">_xlfn.IFS(
    OR(B168="Benue",B168="Kogi",B168="Kwara",B168="Nasarawa",B168="Niger",B168="Plateau",B168="FCT"),"North Central",
    OR(B168="Adamawa",B168="Bauchi",B168="Borno",B168="Gombe",B168="Taraba",B168="Yobe"),"North East",
    OR(B168="Kaduna",B168="Kano",B168="Katsina",B168="Kebbi",B168="Sokoto",B168="Zamfara","Jigawa"),"North West",
    OR(B168="Abia",B168="Anambra",B168="Ebonyi",B168="Enugu",B168="Imo"),"South East",
    OR(B168="Akwa Ibom",B168="Bayelsa",B168="Cross River",B168="Delta",B168="Edo",B168="Rivers"),"South South",
    OR(B168="Ekiti",B168="Lagos",B168="Ogun",B168="Ondo",B168="Osun",B168="Oyo"),"South West"
)</f>
        <v>South West</v>
      </c>
      <c r="H168">
        <f t="shared" si="2"/>
        <v>5</v>
      </c>
    </row>
    <row r="169" spans="1:8" x14ac:dyDescent="0.35">
      <c r="A169" s="5">
        <v>2022</v>
      </c>
      <c r="B169" s="5" t="s">
        <v>8</v>
      </c>
      <c r="C169">
        <v>70</v>
      </c>
      <c r="D169" s="5">
        <v>70</v>
      </c>
      <c r="E169" s="6">
        <v>40</v>
      </c>
      <c r="F169" s="7">
        <v>30</v>
      </c>
      <c r="G169" t="str" cm="1">
        <f t="array" ref="G169">_xlfn.IFS(
    OR(B169="Benue",B169="Kogi",B169="Kwara",B169="Nasarawa",B169="Niger",B169="Plateau",B169="FCT"),"North Central",
    OR(B169="Adamawa",B169="Bauchi",B169="Borno",B169="Gombe",B169="Taraba",B169="Yobe"),"North East",
    OR(B169="Kaduna",B169="Kano",B169="Katsina",B169="Kebbi",B169="Sokoto",B169="Zamfara","Jigawa"),"North West",
    OR(B169="Abia",B169="Anambra",B169="Ebonyi",B169="Enugu",B169="Imo"),"South East",
    OR(B169="Akwa Ibom",B169="Bayelsa",B169="Cross River",B169="Delta",B169="Edo",B169="Rivers"),"South South",
    OR(B169="Ekiti",B169="Lagos",B169="Ogun",B169="Ondo",B169="Osun",B169="Oyo"),"South West"
)</f>
        <v>North West</v>
      </c>
      <c r="H169">
        <f t="shared" si="2"/>
        <v>70</v>
      </c>
    </row>
    <row r="170" spans="1:8" x14ac:dyDescent="0.35">
      <c r="A170" s="5">
        <v>2022</v>
      </c>
      <c r="B170" s="5" t="s">
        <v>6</v>
      </c>
      <c r="C170">
        <v>3000</v>
      </c>
      <c r="D170" s="5">
        <v>3000</v>
      </c>
      <c r="E170" s="6">
        <v>800</v>
      </c>
      <c r="F170" s="7">
        <v>2200</v>
      </c>
      <c r="G170" t="str" cm="1">
        <f t="array" ref="G170">_xlfn.IFS(
    OR(B170="Benue",B170="Kogi",B170="Kwara",B170="Nasarawa",B170="Niger",B170="Plateau",B170="FCT"),"North Central",
    OR(B170="Adamawa",B170="Bauchi",B170="Borno",B170="Gombe",B170="Taraba",B170="Yobe"),"North East",
    OR(B170="Kaduna",B170="Kano",B170="Katsina",B170="Kebbi",B170="Sokoto",B170="Zamfara","Jigawa"),"North West",
    OR(B170="Abia",B170="Anambra",B170="Ebonyi",B170="Enugu",B170="Imo"),"South East",
    OR(B170="Akwa Ibom",B170="Bayelsa",B170="Cross River",B170="Delta",B170="Edo",B170="Rivers"),"South South",
    OR(B170="Ekiti",B170="Lagos",B170="Ogun",B170="Ondo",B170="Osun",B170="Oyo"),"South West"
)</f>
        <v>North West</v>
      </c>
      <c r="H170">
        <f t="shared" si="2"/>
        <v>3000</v>
      </c>
    </row>
    <row r="171" spans="1:8" x14ac:dyDescent="0.35">
      <c r="A171" s="5">
        <v>2022</v>
      </c>
      <c r="B171" s="5" t="s">
        <v>6</v>
      </c>
      <c r="C171">
        <v>1980</v>
      </c>
      <c r="D171" s="5">
        <v>1980</v>
      </c>
      <c r="E171" s="6">
        <v>500</v>
      </c>
      <c r="F171" s="7">
        <v>1480</v>
      </c>
      <c r="G171" t="str" cm="1">
        <f t="array" ref="G171">_xlfn.IFS(
    OR(B171="Benue",B171="Kogi",B171="Kwara",B171="Nasarawa",B171="Niger",B171="Plateau",B171="FCT"),"North Central",
    OR(B171="Adamawa",B171="Bauchi",B171="Borno",B171="Gombe",B171="Taraba",B171="Yobe"),"North East",
    OR(B171="Kaduna",B171="Kano",B171="Katsina",B171="Kebbi",B171="Sokoto",B171="Zamfara","Jigawa"),"North West",
    OR(B171="Abia",B171="Anambra",B171="Ebonyi",B171="Enugu",B171="Imo"),"South East",
    OR(B171="Akwa Ibom",B171="Bayelsa",B171="Cross River",B171="Delta",B171="Edo",B171="Rivers"),"South South",
    OR(B171="Ekiti",B171="Lagos",B171="Ogun",B171="Ondo",B171="Osun",B171="Oyo"),"South West"
)</f>
        <v>North West</v>
      </c>
      <c r="H171">
        <f t="shared" si="2"/>
        <v>1980</v>
      </c>
    </row>
    <row r="172" spans="1:8" x14ac:dyDescent="0.35">
      <c r="A172" s="5">
        <v>2022</v>
      </c>
      <c r="B172" s="5" t="s">
        <v>6</v>
      </c>
      <c r="C172">
        <v>900</v>
      </c>
      <c r="D172" s="5">
        <v>900</v>
      </c>
      <c r="E172" s="6">
        <v>84</v>
      </c>
      <c r="F172" s="7">
        <v>816</v>
      </c>
      <c r="G172" t="str" cm="1">
        <f t="array" ref="G172">_xlfn.IFS(
    OR(B172="Benue",B172="Kogi",B172="Kwara",B172="Nasarawa",B172="Niger",B172="Plateau",B172="FCT"),"North Central",
    OR(B172="Adamawa",B172="Bauchi",B172="Borno",B172="Gombe",B172="Taraba",B172="Yobe"),"North East",
    OR(B172="Kaduna",B172="Kano",B172="Katsina",B172="Kebbi",B172="Sokoto",B172="Zamfara","Jigawa"),"North West",
    OR(B172="Abia",B172="Anambra",B172="Ebonyi",B172="Enugu",B172="Imo"),"South East",
    OR(B172="Akwa Ibom",B172="Bayelsa",B172="Cross River",B172="Delta",B172="Edo",B172="Rivers"),"South South",
    OR(B172="Ekiti",B172="Lagos",B172="Ogun",B172="Ondo",B172="Osun",B172="Oyo"),"South West"
)</f>
        <v>North West</v>
      </c>
      <c r="H172">
        <f t="shared" si="2"/>
        <v>900</v>
      </c>
    </row>
    <row r="173" spans="1:8" x14ac:dyDescent="0.35">
      <c r="A173" s="5">
        <v>2021</v>
      </c>
      <c r="B173" s="5" t="s">
        <v>6</v>
      </c>
      <c r="C173">
        <v>1700</v>
      </c>
      <c r="D173" s="5">
        <v>1700</v>
      </c>
      <c r="E173" s="6">
        <v>1700</v>
      </c>
      <c r="G173" t="str" cm="1">
        <f t="array" ref="G173">_xlfn.IFS(
    OR(B173="Benue",B173="Kogi",B173="Kwara",B173="Nasarawa",B173="Niger",B173="Plateau",B173="FCT"),"North Central",
    OR(B173="Adamawa",B173="Bauchi",B173="Borno",B173="Gombe",B173="Taraba",B173="Yobe"),"North East",
    OR(B173="Kaduna",B173="Kano",B173="Katsina",B173="Kebbi",B173="Sokoto",B173="Zamfara","Jigawa"),"North West",
    OR(B173="Abia",B173="Anambra",B173="Ebonyi",B173="Enugu",B173="Imo"),"South East",
    OR(B173="Akwa Ibom",B173="Bayelsa",B173="Cross River",B173="Delta",B173="Edo",B173="Rivers"),"South South",
    OR(B173="Ekiti",B173="Lagos",B173="Ogun",B173="Ondo",B173="Osun",B173="Oyo"),"South West"
)</f>
        <v>North West</v>
      </c>
      <c r="H173">
        <f t="shared" si="2"/>
        <v>1700</v>
      </c>
    </row>
    <row r="174" spans="1:8" x14ac:dyDescent="0.35">
      <c r="A174" s="5">
        <v>2022</v>
      </c>
      <c r="B174" s="5" t="s">
        <v>6</v>
      </c>
      <c r="C174">
        <v>2100</v>
      </c>
      <c r="D174" s="5">
        <v>2100</v>
      </c>
      <c r="E174" s="6">
        <v>675</v>
      </c>
      <c r="F174" s="7">
        <v>1425</v>
      </c>
      <c r="G174" t="str" cm="1">
        <f t="array" ref="G174">_xlfn.IFS(
    OR(B174="Benue",B174="Kogi",B174="Kwara",B174="Nasarawa",B174="Niger",B174="Plateau",B174="FCT"),"North Central",
    OR(B174="Adamawa",B174="Bauchi",B174="Borno",B174="Gombe",B174="Taraba",B174="Yobe"),"North East",
    OR(B174="Kaduna",B174="Kano",B174="Katsina",B174="Kebbi",B174="Sokoto",B174="Zamfara","Jigawa"),"North West",
    OR(B174="Abia",B174="Anambra",B174="Ebonyi",B174="Enugu",B174="Imo"),"South East",
    OR(B174="Akwa Ibom",B174="Bayelsa",B174="Cross River",B174="Delta",B174="Edo",B174="Rivers"),"South South",
    OR(B174="Ekiti",B174="Lagos",B174="Ogun",B174="Ondo",B174="Osun",B174="Oyo"),"South West"
)</f>
        <v>North West</v>
      </c>
      <c r="H174">
        <f t="shared" si="2"/>
        <v>2100</v>
      </c>
    </row>
    <row r="175" spans="1:8" x14ac:dyDescent="0.35">
      <c r="A175" s="5">
        <v>2022</v>
      </c>
      <c r="B175" s="5" t="s">
        <v>23</v>
      </c>
      <c r="C175">
        <v>126</v>
      </c>
      <c r="D175" s="5">
        <v>126</v>
      </c>
      <c r="E175" s="6">
        <v>104</v>
      </c>
      <c r="F175" s="7">
        <v>22</v>
      </c>
      <c r="G175" t="str" cm="1">
        <f t="array" ref="G175">_xlfn.IFS(
    OR(B175="Benue",B175="Kogi",B175="Kwara",B175="Nasarawa",B175="Niger",B175="Plateau",B175="FCT"),"North Central",
    OR(B175="Adamawa",B175="Bauchi",B175="Borno",B175="Gombe",B175="Taraba",B175="Yobe"),"North East",
    OR(B175="Kaduna",B175="Kano",B175="Katsina",B175="Kebbi",B175="Sokoto",B175="Zamfara","Jigawa"),"North West",
    OR(B175="Abia",B175="Anambra",B175="Ebonyi",B175="Enugu",B175="Imo"),"South East",
    OR(B175="Akwa Ibom",B175="Bayelsa",B175="Cross River",B175="Delta",B175="Edo",B175="Rivers"),"South South",
    OR(B175="Ekiti",B175="Lagos",B175="Ogun",B175="Ondo",B175="Osun",B175="Oyo"),"South West"
)</f>
        <v>North East</v>
      </c>
      <c r="H175">
        <f t="shared" si="2"/>
        <v>126</v>
      </c>
    </row>
    <row r="176" spans="1:8" x14ac:dyDescent="0.35">
      <c r="A176" s="5">
        <v>2022</v>
      </c>
      <c r="B176" s="5" t="s">
        <v>23</v>
      </c>
      <c r="C176">
        <v>82</v>
      </c>
      <c r="D176" s="5">
        <v>82</v>
      </c>
      <c r="E176" s="6">
        <v>40</v>
      </c>
      <c r="F176" s="7">
        <v>42</v>
      </c>
      <c r="G176" t="str" cm="1">
        <f t="array" ref="G176">_xlfn.IFS(
    OR(B176="Benue",B176="Kogi",B176="Kwara",B176="Nasarawa",B176="Niger",B176="Plateau",B176="FCT"),"North Central",
    OR(B176="Adamawa",B176="Bauchi",B176="Borno",B176="Gombe",B176="Taraba",B176="Yobe"),"North East",
    OR(B176="Kaduna",B176="Kano",B176="Katsina",B176="Kebbi",B176="Sokoto",B176="Zamfara","Jigawa"),"North West",
    OR(B176="Abia",B176="Anambra",B176="Ebonyi",B176="Enugu",B176="Imo"),"South East",
    OR(B176="Akwa Ibom",B176="Bayelsa",B176="Cross River",B176="Delta",B176="Edo",B176="Rivers"),"South South",
    OR(B176="Ekiti",B176="Lagos",B176="Ogun",B176="Ondo",B176="Osun",B176="Oyo"),"South West"
)</f>
        <v>North East</v>
      </c>
      <c r="H176">
        <f t="shared" si="2"/>
        <v>82</v>
      </c>
    </row>
    <row r="177" spans="1:8" x14ac:dyDescent="0.35">
      <c r="A177" s="5">
        <v>2022</v>
      </c>
      <c r="B177" s="5" t="s">
        <v>32</v>
      </c>
      <c r="C177">
        <v>600</v>
      </c>
      <c r="D177" s="5">
        <v>600</v>
      </c>
      <c r="E177" s="6">
        <v>489</v>
      </c>
      <c r="F177" s="7">
        <v>111</v>
      </c>
      <c r="G177" t="str" cm="1">
        <f t="array" ref="G177">_xlfn.IFS(
    OR(B177="Benue",B177="Kogi",B177="Kwara",B177="Nasarawa",B177="Niger",B177="Plateau",B177="FCT"),"North Central",
    OR(B177="Adamawa",B177="Bauchi",B177="Borno",B177="Gombe",B177="Taraba",B177="Yobe"),"North East",
    OR(B177="Kaduna",B177="Kano",B177="Katsina",B177="Kebbi",B177="Sokoto",B177="Zamfara",B177="Jigawa"),"North West",
    OR(B177="Abia",B177="Anambra",B177="Ebonyi",B177="Enugu",B177="Imo"),"South East",
    OR(B177="Akwa Ibom",B177="Bayelsa",B177="Cross River",B177="Delta",B177="Edo",B177="Rivers"),"South South",
    OR(B177="Ekiti",B177="Lagos",B177="Ogun",B177="Ondo",B177="Osun",B177="Oyo"),"South West"
)</f>
        <v>North West</v>
      </c>
      <c r="H177">
        <f t="shared" si="2"/>
        <v>600</v>
      </c>
    </row>
    <row r="178" spans="1:8" x14ac:dyDescent="0.35">
      <c r="A178" s="5">
        <v>2022</v>
      </c>
      <c r="B178" s="5" t="s">
        <v>6</v>
      </c>
      <c r="C178">
        <v>99000</v>
      </c>
      <c r="D178" s="5">
        <v>99000</v>
      </c>
      <c r="E178" s="6">
        <v>35000</v>
      </c>
      <c r="F178" s="7">
        <v>64000</v>
      </c>
      <c r="G178" t="str" cm="1">
        <f t="array" ref="G178">_xlfn.IFS(
    OR(B178="Benue",B178="Kogi",B178="Kwara",B178="Nasarawa",B178="Niger",B178="Plateau",B178="FCT"),"North Central",
    OR(B178="Adamawa",B178="Bauchi",B178="Borno",B178="Gombe",B178="Taraba",B178="Yobe"),"North East",
    OR(B178="Kaduna",B178="Kano",B178="Katsina",B178="Kebbi",B178="Sokoto",B178="Zamfara","Jigawa"),"North West",
    OR(B178="Abia",B178="Anambra",B178="Ebonyi",B178="Enugu",B178="Imo"),"South East",
    OR(B178="Akwa Ibom",B178="Bayelsa",B178="Cross River",B178="Delta",B178="Edo",B178="Rivers"),"South South",
    OR(B178="Ekiti",B178="Lagos",B178="Ogun",B178="Ondo",B178="Osun",B178="Oyo"),"South West"
)</f>
        <v>North West</v>
      </c>
      <c r="H178">
        <f t="shared" si="2"/>
        <v>99000</v>
      </c>
    </row>
    <row r="179" spans="1:8" x14ac:dyDescent="0.35">
      <c r="A179" s="5">
        <v>2022</v>
      </c>
      <c r="B179" s="5" t="s">
        <v>6</v>
      </c>
      <c r="C179">
        <v>1500</v>
      </c>
      <c r="D179" s="5">
        <v>1500</v>
      </c>
      <c r="E179" s="6">
        <v>300</v>
      </c>
      <c r="F179" s="7">
        <v>1200</v>
      </c>
      <c r="G179" t="str" cm="1">
        <f t="array" ref="G179">_xlfn.IFS(
    OR(B179="Benue",B179="Kogi",B179="Kwara",B179="Nasarawa",B179="Niger",B179="Plateau",B179="FCT"),"North Central",
    OR(B179="Adamawa",B179="Bauchi",B179="Borno",B179="Gombe",B179="Taraba",B179="Yobe"),"North East",
    OR(B179="Kaduna",B179="Kano",B179="Katsina",B179="Kebbi",B179="Sokoto",B179="Zamfara","Jigawa"),"North West",
    OR(B179="Abia",B179="Anambra",B179="Ebonyi",B179="Enugu",B179="Imo"),"South East",
    OR(B179="Akwa Ibom",B179="Bayelsa",B179="Cross River",B179="Delta",B179="Edo",B179="Rivers"),"South South",
    OR(B179="Ekiti",B179="Lagos",B179="Ogun",B179="Ondo",B179="Osun",B179="Oyo"),"South West"
)</f>
        <v>North West</v>
      </c>
      <c r="H179">
        <f t="shared" si="2"/>
        <v>1500</v>
      </c>
    </row>
    <row r="180" spans="1:8" x14ac:dyDescent="0.35">
      <c r="A180" s="5">
        <v>2022</v>
      </c>
      <c r="B180" s="5" t="s">
        <v>16</v>
      </c>
      <c r="C180">
        <v>2000</v>
      </c>
      <c r="D180" s="5">
        <v>2000</v>
      </c>
      <c r="E180" s="6">
        <v>353</v>
      </c>
      <c r="F180" s="7">
        <v>1647</v>
      </c>
      <c r="G180" t="str" cm="1">
        <f t="array" ref="G180">_xlfn.IFS(
    OR(B180="Benue",B180="Kogi",B180="Kwara",B180="Nasarawa",B180="Niger",B180="Plateau",B180="FCT"),"North Central",
    OR(B180="Adamawa",B180="Bauchi",B180="Borno",B180="Gombe",B180="Taraba",B180="Yobe"),"North East",
    OR(B180="Kaduna",B180="Kano",B180="Katsina",B180="Kebbi",B180="Sokoto",B180="Zamfara","Jigawa"),"North West",
    OR(B180="Abia",B180="Anambra",B180="Ebonyi",B180="Enugu",B180="Imo"),"South East",
    OR(B180="Akwa Ibom",B180="Bayelsa",B180="Cross River",B180="Delta",B180="Edo",B180="Rivers"),"South South",
    OR(B180="Ekiti",B180="Lagos",B180="Ogun",B180="Ondo",B180="Osun",B180="Oyo"),"South West"
)</f>
        <v>North West</v>
      </c>
      <c r="H180">
        <f t="shared" si="2"/>
        <v>2000</v>
      </c>
    </row>
    <row r="181" spans="1:8" x14ac:dyDescent="0.35">
      <c r="A181" s="5">
        <v>2022</v>
      </c>
      <c r="B181" s="5" t="s">
        <v>16</v>
      </c>
      <c r="C181">
        <v>1500</v>
      </c>
      <c r="D181" s="5">
        <v>1500</v>
      </c>
      <c r="E181" s="6">
        <v>265</v>
      </c>
      <c r="F181" s="7">
        <v>1235</v>
      </c>
      <c r="G181" t="str" cm="1">
        <f t="array" ref="G181">_xlfn.IFS(
    OR(B181="Benue",B181="Kogi",B181="Kwara",B181="Nasarawa",B181="Niger",B181="Plateau",B181="FCT"),"North Central",
    OR(B181="Adamawa",B181="Bauchi",B181="Borno",B181="Gombe",B181="Taraba",B181="Yobe"),"North East",
    OR(B181="Kaduna",B181="Kano",B181="Katsina",B181="Kebbi",B181="Sokoto",B181="Zamfara","Jigawa"),"North West",
    OR(B181="Abia",B181="Anambra",B181="Ebonyi",B181="Enugu",B181="Imo"),"South East",
    OR(B181="Akwa Ibom",B181="Bayelsa",B181="Cross River",B181="Delta",B181="Edo",B181="Rivers"),"South South",
    OR(B181="Ekiti",B181="Lagos",B181="Ogun",B181="Ondo",B181="Osun",B181="Oyo"),"South West"
)</f>
        <v>North West</v>
      </c>
      <c r="H181">
        <f t="shared" si="2"/>
        <v>1500</v>
      </c>
    </row>
    <row r="182" spans="1:8" ht="29" x14ac:dyDescent="0.35">
      <c r="A182" s="5">
        <v>2022</v>
      </c>
      <c r="B182" s="5" t="s">
        <v>33</v>
      </c>
      <c r="C182">
        <v>17000</v>
      </c>
      <c r="D182" s="5">
        <v>17000</v>
      </c>
      <c r="E182" s="6">
        <v>3200</v>
      </c>
      <c r="F182" s="7">
        <v>13800</v>
      </c>
      <c r="G182" t="str" cm="1">
        <f t="array" ref="G182">_xlfn.IFS(
    OR(B182="Benue",B182="Kogi",B182="Kwara",B182="Nasarawa",B182="Niger",B182="Plateau",B182="FCT"),"North Central",
    OR(B182="Adamawa",B182="Bauchi",B182="Borno",B182="Gombe",B182="Taraba",B182="Yobe"),"North East",
    OR(B182="Kaduna",B182="Kano",B182="Katsina",B182="Kebbi",B182="Sokoto",B182="Zamfara","Jigawa"),"North West",
    OR(B182="Abia",B182="Anambra",B182="Ebonyi",B182="Enugu",B182="Imo"),"South East",
    OR(B182="Akwa Ibom",B182="Bayelsa",B182="Cross River",B182="Delta",B182="Edo",B182="Rivers"),"South South",
    OR(B182="Ekiti",B182="Lagos",B182="Ogun",B182="Ondo",B182="Osun",B182="Oyo"),"South West"
)</f>
        <v>North East</v>
      </c>
      <c r="H182">
        <f t="shared" si="2"/>
        <v>17000</v>
      </c>
    </row>
    <row r="183" spans="1:8" x14ac:dyDescent="0.35">
      <c r="A183" s="5">
        <v>2021</v>
      </c>
      <c r="B183" s="5" t="s">
        <v>23</v>
      </c>
      <c r="C183">
        <v>800</v>
      </c>
      <c r="D183" s="5">
        <v>800</v>
      </c>
      <c r="E183" s="6">
        <v>600</v>
      </c>
      <c r="F183" s="7">
        <v>200</v>
      </c>
      <c r="G183" t="str" cm="1">
        <f t="array" ref="G183">_xlfn.IFS(
    OR(B183="Benue",B183="Kogi",B183="Kwara",B183="Nasarawa",B183="Niger",B183="Plateau",B183="FCT"),"North Central",
    OR(B183="Adamawa",B183="Bauchi",B183="Borno",B183="Gombe",B183="Taraba",B183="Yobe"),"North East",
    OR(B183="Kaduna",B183="Kano",B183="Katsina",B183="Kebbi",B183="Sokoto",B183="Zamfara","Jigawa"),"North West",
    OR(B183="Abia",B183="Anambra",B183="Ebonyi",B183="Enugu",B183="Imo"),"South East",
    OR(B183="Akwa Ibom",B183="Bayelsa",B183="Cross River",B183="Delta",B183="Edo",B183="Rivers"),"South South",
    OR(B183="Ekiti",B183="Lagos",B183="Ogun",B183="Ondo",B183="Osun",B183="Oyo"),"South West"
)</f>
        <v>North East</v>
      </c>
      <c r="H183">
        <f t="shared" si="2"/>
        <v>800</v>
      </c>
    </row>
    <row r="184" spans="1:8" x14ac:dyDescent="0.35">
      <c r="A184" s="5">
        <v>2022</v>
      </c>
      <c r="B184" s="5" t="s">
        <v>27</v>
      </c>
      <c r="C184">
        <v>180000</v>
      </c>
      <c r="D184" s="5">
        <v>180000</v>
      </c>
      <c r="E184" s="6">
        <v>30000</v>
      </c>
      <c r="F184" s="7">
        <v>150000</v>
      </c>
      <c r="G184" t="str" cm="1">
        <f t="array" ref="G184">_xlfn.IFS(
    OR(B184="Benue",B184="Kogi",B184="Kwara",B184="Nasarawa",B184="Niger",B184="Plateau",B184="FCT"),"North Central",
    OR(B184="Adamawa",B184="Bauchi",B184="Borno",B184="Gombe",B184="Taraba",B184="Yobe"),"North East",
    OR(B184="Kaduna",B184="Kano",B184="Katsina",B184="Kebbi",B184="Sokoto",B184="Zamfara","Jigawa"),"North West",
    OR(B184="Abia",B184="Anambra",B184="Ebonyi",B184="Enugu",B184="Imo"),"South East",
    OR(B184="Akwa Ibom",B184="Bayelsa",B184="Cross River",B184="Delta",B184="Edo",B184="Rivers"),"South South",
    OR(B184="Ekiti",B184="Lagos",B184="Ogun",B184="Ondo",B184="Osun",B184="Oyo"),"South West"
)</f>
        <v>North West</v>
      </c>
      <c r="H184">
        <f t="shared" si="2"/>
        <v>180000</v>
      </c>
    </row>
    <row r="185" spans="1:8" x14ac:dyDescent="0.35">
      <c r="A185" s="5">
        <v>2022</v>
      </c>
      <c r="B185" s="5" t="s">
        <v>9</v>
      </c>
      <c r="C185">
        <v>35</v>
      </c>
      <c r="D185" s="5">
        <v>35</v>
      </c>
      <c r="E185" s="6">
        <v>30</v>
      </c>
      <c r="F185" s="7">
        <v>5</v>
      </c>
      <c r="G185" t="str" cm="1">
        <f t="array" ref="G185">_xlfn.IFS(
    OR(B185="Benue",B185="Kogi",B185="Kwara",B185="Nasarawa",B185="Niger",B185="Plateau",B185="FCT"),"North Central",
    OR(B185="Adamawa",B185="Bauchi",B185="Borno",B185="Gombe",B185="Taraba",B185="Yobe"),"North East",
    OR(B185="Kaduna",B185="Kano",B185="Katsina",B185="Kebbi",B185="Sokoto",B185="Zamfara","Jigawa"),"North West",
    OR(B185="Abia",B185="Anambra",B185="Ebonyi",B185="Enugu",B185="Imo"),"South East",
    OR(B185="Akwa Ibom",B185="Bayelsa",B185="Cross River",B185="Delta",B185="Edo",B185="Rivers"),"South South",
    OR(B185="Ekiti",B185="Lagos",B185="Ogun",B185="Ondo",B185="Osun",B185="Oyo"),"South West"
)</f>
        <v>North Central</v>
      </c>
      <c r="H185">
        <f t="shared" si="2"/>
        <v>35</v>
      </c>
    </row>
    <row r="186" spans="1:8" x14ac:dyDescent="0.35">
      <c r="A186" s="5">
        <v>2022</v>
      </c>
      <c r="B186" s="5" t="s">
        <v>9</v>
      </c>
      <c r="C186">
        <v>55</v>
      </c>
      <c r="D186" s="5">
        <v>55</v>
      </c>
      <c r="E186" s="6">
        <v>40</v>
      </c>
      <c r="F186" s="7">
        <v>15</v>
      </c>
      <c r="G186" t="str" cm="1">
        <f t="array" ref="G186">_xlfn.IFS(
    OR(B186="Benue",B186="Kogi",B186="Kwara",B186="Nasarawa",B186="Niger",B186="Plateau",B186="FCT"),"North Central",
    OR(B186="Adamawa",B186="Bauchi",B186="Borno",B186="Gombe",B186="Taraba",B186="Yobe"),"North East",
    OR(B186="Kaduna",B186="Kano",B186="Katsina",B186="Kebbi",B186="Sokoto",B186="Zamfara","Jigawa"),"North West",
    OR(B186="Abia",B186="Anambra",B186="Ebonyi",B186="Enugu",B186="Imo"),"South East",
    OR(B186="Akwa Ibom",B186="Bayelsa",B186="Cross River",B186="Delta",B186="Edo",B186="Rivers"),"South South",
    OR(B186="Ekiti",B186="Lagos",B186="Ogun",B186="Ondo",B186="Osun",B186="Oyo"),"South West"
)</f>
        <v>North Central</v>
      </c>
      <c r="H186">
        <f t="shared" si="2"/>
        <v>55</v>
      </c>
    </row>
    <row r="187" spans="1:8" x14ac:dyDescent="0.35">
      <c r="A187" s="5">
        <v>2022</v>
      </c>
      <c r="B187" s="5" t="s">
        <v>26</v>
      </c>
      <c r="C187">
        <v>1200</v>
      </c>
      <c r="D187" s="5">
        <v>1200</v>
      </c>
      <c r="E187" s="6">
        <v>58</v>
      </c>
      <c r="F187" s="7">
        <v>1142</v>
      </c>
      <c r="G187" t="str" cm="1">
        <f t="array" ref="G187">_xlfn.IFS(
    OR(B187="Benue",B187="Kogi",B187="Kwara",B187="Nasarawa",B187="Niger",B187="Plateau",B187="FCT"),"North Central",
    OR(B187="Adamawa",B187="Bauchi",B187="Borno",B187="Gombe",B187="Taraba",B187="Yobe"),"North East",
    OR(B187="Kaduna",B187="Kano",B187="Katsina",B187="Kebbi",B187="Sokoto",B187="Zamfara","Jigawa"),"North West",
    OR(B187="Abia",B187="Anambra",B187="Ebonyi",B187="Enugu",B187="Imo"),"South East",
    OR(B187="Akwa Ibom",B187="Bayelsa",B187="Cross River",B187="Delta",B187="Edo",B187="Rivers"),"South South",
    OR(B187="Ekiti",B187="Lagos",B187="Ogun",B187="Ondo",B187="Osun",B187="Oyo"),"South West"
)</f>
        <v>North Central</v>
      </c>
      <c r="H187">
        <f t="shared" si="2"/>
        <v>1200</v>
      </c>
    </row>
    <row r="188" spans="1:8" x14ac:dyDescent="0.35">
      <c r="A188" s="5">
        <v>2022</v>
      </c>
      <c r="B188" s="5" t="s">
        <v>26</v>
      </c>
      <c r="C188">
        <v>1000</v>
      </c>
      <c r="D188" s="5">
        <v>1000</v>
      </c>
      <c r="E188" s="6">
        <v>41</v>
      </c>
      <c r="F188" s="7">
        <v>959</v>
      </c>
      <c r="G188" t="str" cm="1">
        <f t="array" ref="G188">_xlfn.IFS(
    OR(B188="Benue",B188="Kogi",B188="Kwara",B188="Nasarawa",B188="Niger",B188="Plateau",B188="FCT"),"North Central",
    OR(B188="Adamawa",B188="Bauchi",B188="Borno",B188="Gombe",B188="Taraba",B188="Yobe"),"North East",
    OR(B188="Kaduna",B188="Kano",B188="Katsina",B188="Kebbi",B188="Sokoto",B188="Zamfara","Jigawa"),"North West",
    OR(B188="Abia",B188="Anambra",B188="Ebonyi",B188="Enugu",B188="Imo"),"South East",
    OR(B188="Akwa Ibom",B188="Bayelsa",B188="Cross River",B188="Delta",B188="Edo",B188="Rivers"),"South South",
    OR(B188="Ekiti",B188="Lagos",B188="Ogun",B188="Ondo",B188="Osun",B188="Oyo"),"South West"
)</f>
        <v>North Central</v>
      </c>
      <c r="H188">
        <f t="shared" si="2"/>
        <v>1000</v>
      </c>
    </row>
    <row r="189" spans="1:8" x14ac:dyDescent="0.35">
      <c r="A189" s="5">
        <v>2022</v>
      </c>
      <c r="B189" s="5" t="s">
        <v>26</v>
      </c>
      <c r="C189">
        <v>2800</v>
      </c>
      <c r="D189" s="5">
        <v>2800</v>
      </c>
      <c r="E189" s="6">
        <v>34</v>
      </c>
      <c r="F189" s="7">
        <v>2766</v>
      </c>
      <c r="G189" t="str" cm="1">
        <f t="array" ref="G189">_xlfn.IFS(
    OR(B189="Benue",B189="Kogi",B189="Kwara",B189="Nasarawa",B189="Niger",B189="Plateau",B189="FCT"),"North Central",
    OR(B189="Adamawa",B189="Bauchi",B189="Borno",B189="Gombe",B189="Taraba",B189="Yobe"),"North East",
    OR(B189="Kaduna",B189="Kano",B189="Katsina",B189="Kebbi",B189="Sokoto",B189="Zamfara","Jigawa"),"North West",
    OR(B189="Abia",B189="Anambra",B189="Ebonyi",B189="Enugu",B189="Imo"),"South East",
    OR(B189="Akwa Ibom",B189="Bayelsa",B189="Cross River",B189="Delta",B189="Edo",B189="Rivers"),"South South",
    OR(B189="Ekiti",B189="Lagos",B189="Ogun",B189="Ondo",B189="Osun",B189="Oyo"),"South West"
)</f>
        <v>North Central</v>
      </c>
      <c r="H189">
        <f t="shared" si="2"/>
        <v>2800</v>
      </c>
    </row>
    <row r="190" spans="1:8" x14ac:dyDescent="0.35">
      <c r="A190" s="5">
        <v>2022</v>
      </c>
      <c r="B190" s="5" t="s">
        <v>34</v>
      </c>
      <c r="C190">
        <v>37</v>
      </c>
      <c r="D190" s="5">
        <v>37</v>
      </c>
      <c r="E190" s="6">
        <v>20</v>
      </c>
      <c r="F190" s="7">
        <v>17</v>
      </c>
      <c r="G190" t="str" cm="1">
        <f t="array" ref="G190">_xlfn.IFS(
    OR(B190="Benue",B190="Kogi",B190="Kwara",B190="Nasarawa",B190="Niger",B190="Plateau",B190="FCT"),"North Central",
    OR(B190="Adamawa",B190="Bauchi",B190="Borno",B190="Gombe",B190="Taraba",B190="Yobe"),"North East",
    OR(B190="Kaduna",B190="Kano",B190="Katsina",B190="Kebbi",B190="Sokoto",B190="Zamfara","Jigawa"),"North West",
    OR(B190="Abia",B190="Anambra",B190="Ebonyi",B190="Enugu",B190="Imo"),"South East",
    OR(B190="Akwa Ibom",B190="Bayelsa",B190="Cross River",B190="Delta",B190="Edo",B190="Rivers"),"South South",
    OR(B190="Ekiti",B190="Lagos",B190="Ogun",B190="Ondo",B190="Osun",B190="Oyo"),"South West"
)</f>
        <v>North East</v>
      </c>
      <c r="H190">
        <f t="shared" si="2"/>
        <v>37</v>
      </c>
    </row>
    <row r="191" spans="1:8" x14ac:dyDescent="0.35">
      <c r="A191" s="5">
        <v>2022</v>
      </c>
      <c r="B191" s="5" t="s">
        <v>26</v>
      </c>
      <c r="C191">
        <v>31164</v>
      </c>
      <c r="D191" s="5">
        <v>31164</v>
      </c>
      <c r="E191" s="6">
        <v>7463</v>
      </c>
      <c r="F191" s="7">
        <v>23701</v>
      </c>
      <c r="G191" t="str" cm="1">
        <f t="array" ref="G191">_xlfn.IFS(
    OR(B191="Benue",B191="Kogi",B191="Kwara",B191="Nasarawa",B191="Niger",B191="Plateau",B191="FCT"),"North Central",
    OR(B191="Adamawa",B191="Bauchi",B191="Borno",B191="Gombe",B191="Taraba",B191="Yobe"),"North East",
    OR(B191="Kaduna",B191="Kano",B191="Katsina",B191="Kebbi",B191="Sokoto",B191="Zamfara","Jigawa"),"North West",
    OR(B191="Abia",B191="Anambra",B191="Ebonyi",B191="Enugu",B191="Imo"),"South East",
    OR(B191="Akwa Ibom",B191="Bayelsa",B191="Cross River",B191="Delta",B191="Edo",B191="Rivers"),"South South",
    OR(B191="Ekiti",B191="Lagos",B191="Ogun",B191="Ondo",B191="Osun",B191="Oyo"),"South West"
)</f>
        <v>North Central</v>
      </c>
      <c r="H191">
        <f t="shared" si="2"/>
        <v>31164</v>
      </c>
    </row>
    <row r="192" spans="1:8" ht="29" x14ac:dyDescent="0.35">
      <c r="A192" s="5">
        <v>2022</v>
      </c>
      <c r="B192" s="5" t="s">
        <v>28</v>
      </c>
      <c r="C192">
        <v>4070</v>
      </c>
      <c r="D192" s="5">
        <v>4070</v>
      </c>
      <c r="E192" s="6">
        <v>1000</v>
      </c>
      <c r="F192" s="7">
        <v>3070</v>
      </c>
      <c r="G192" t="str" cm="1">
        <f t="array" ref="G192">_xlfn.IFS(
    OR(B192="Benue",B192="Kogi",B192="Kwara",B192="Nasarawa",B192="Niger",B192="Plateau",B192="FCT"),"North Central",
    OR(B192="Adamawa",B192="Bauchi",B192="Borno",B192="Gombe",B192="Taraba",B192="Yobe"),"North East",
    OR(B192="Kaduna",B192="Kano",B192="Katsina",B192="Kebbi",B192="Sokoto",B192="Zamfara","Jigawa"),"North West",
    OR(B192="Abia",B192="Anambra",B192="Ebonyi",B192="Enugu",B192="Imo"),"South East",
    OR(B192="Akwa Ibom",B192="Bayelsa",B192="Cross River",B192="Delta",B192="Edo",B192="Rivers"),"South South",
    OR(B192="Ekiti",B192="Lagos",B192="Ogun",B192="Ondo",B192="Osun",B192="Oyo"),"South West"
)</f>
        <v>North Central</v>
      </c>
      <c r="H192">
        <f t="shared" si="2"/>
        <v>4070</v>
      </c>
    </row>
    <row r="193" spans="1:8" ht="29" x14ac:dyDescent="0.35">
      <c r="A193" s="5">
        <v>2022</v>
      </c>
      <c r="B193" s="5" t="s">
        <v>28</v>
      </c>
      <c r="C193">
        <v>3179</v>
      </c>
      <c r="D193" s="5">
        <v>3179</v>
      </c>
      <c r="E193" s="6">
        <v>500</v>
      </c>
      <c r="F193" s="7">
        <v>2679</v>
      </c>
      <c r="G193" t="str" cm="1">
        <f t="array" ref="G193">_xlfn.IFS(
    OR(B193="Benue",B193="Kogi",B193="Kwara",B193="Nasarawa",B193="Niger",B193="Plateau",B193="FCT"),"North Central",
    OR(B193="Adamawa",B193="Bauchi",B193="Borno",B193="Gombe",B193="Taraba",B193="Yobe"),"North East",
    OR(B193="Kaduna",B193="Kano",B193="Katsina",B193="Kebbi",B193="Sokoto",B193="Zamfara","Jigawa"),"North West",
    OR(B193="Abia",B193="Anambra",B193="Ebonyi",B193="Enugu",B193="Imo"),"South East",
    OR(B193="Akwa Ibom",B193="Bayelsa",B193="Cross River",B193="Delta",B193="Edo",B193="Rivers"),"South South",
    OR(B193="Ekiti",B193="Lagos",B193="Ogun",B193="Ondo",B193="Osun",B193="Oyo"),"South West"
)</f>
        <v>North Central</v>
      </c>
      <c r="H193">
        <f t="shared" si="2"/>
        <v>3179</v>
      </c>
    </row>
    <row r="194" spans="1:8" ht="29" x14ac:dyDescent="0.35">
      <c r="A194" s="5">
        <v>2022</v>
      </c>
      <c r="B194" s="5" t="s">
        <v>28</v>
      </c>
      <c r="C194">
        <v>5809</v>
      </c>
      <c r="D194" s="5">
        <v>5809</v>
      </c>
      <c r="E194" s="6">
        <v>1520</v>
      </c>
      <c r="F194" s="7">
        <v>4289</v>
      </c>
      <c r="G194" t="str" cm="1">
        <f t="array" ref="G194">_xlfn.IFS(
    OR(B194="Benue",B194="Kogi",B194="Kwara",B194="Nasarawa",B194="Niger",B194="Plateau",B194="FCT"),"North Central",
    OR(B194="Adamawa",B194="Bauchi",B194="Borno",B194="Gombe",B194="Taraba",B194="Yobe"),"North East",
    OR(B194="Kaduna",B194="Kano",B194="Katsina",B194="Kebbi",B194="Sokoto",B194="Zamfara","Jigawa"),"North West",
    OR(B194="Abia",B194="Anambra",B194="Ebonyi",B194="Enugu",B194="Imo"),"South East",
    OR(B194="Akwa Ibom",B194="Bayelsa",B194="Cross River",B194="Delta",B194="Edo",B194="Rivers"),"South South",
    OR(B194="Ekiti",B194="Lagos",B194="Ogun",B194="Ondo",B194="Osun",B194="Oyo"),"South West"
)</f>
        <v>North Central</v>
      </c>
      <c r="H194">
        <f t="shared" si="2"/>
        <v>5809</v>
      </c>
    </row>
    <row r="195" spans="1:8" x14ac:dyDescent="0.35">
      <c r="A195" s="5">
        <v>2022</v>
      </c>
      <c r="B195" s="5" t="s">
        <v>6</v>
      </c>
      <c r="C195">
        <v>1500</v>
      </c>
      <c r="D195" s="5">
        <v>1500</v>
      </c>
      <c r="E195" s="6">
        <v>30</v>
      </c>
      <c r="F195" s="7">
        <v>1470</v>
      </c>
      <c r="G195" t="str" cm="1">
        <f t="array" ref="G195">_xlfn.IFS(
    OR(B195="Benue",B195="Kogi",B195="Kwara",B195="Nasarawa",B195="Niger",B195="Plateau",B195="FCT"),"North Central",
    OR(B195="Adamawa",B195="Bauchi",B195="Borno",B195="Gombe",B195="Taraba",B195="Yobe"),"North East",
    OR(B195="Kaduna",B195="Kano",B195="Katsina",B195="Kebbi",B195="Sokoto",B195="Zamfara","Jigawa"),"North West",
    OR(B195="Abia",B195="Anambra",B195="Ebonyi",B195="Enugu",B195="Imo"),"South East",
    OR(B195="Akwa Ibom",B195="Bayelsa",B195="Cross River",B195="Delta",B195="Edo",B195="Rivers"),"South South",
    OR(B195="Ekiti",B195="Lagos",B195="Ogun",B195="Ondo",B195="Osun",B195="Oyo"),"South West"
)</f>
        <v>North West</v>
      </c>
      <c r="H195">
        <f t="shared" ref="H195:H258" si="3">E195+F195</f>
        <v>1500</v>
      </c>
    </row>
    <row r="196" spans="1:8" x14ac:dyDescent="0.35">
      <c r="A196" s="5">
        <v>2022</v>
      </c>
      <c r="B196" s="5" t="s">
        <v>6</v>
      </c>
      <c r="C196">
        <v>1700</v>
      </c>
      <c r="D196" s="5">
        <v>1700</v>
      </c>
      <c r="E196" s="6">
        <v>30</v>
      </c>
      <c r="F196" s="7">
        <v>1670</v>
      </c>
      <c r="G196" t="str" cm="1">
        <f t="array" ref="G196">_xlfn.IFS(
    OR(B196="Benue",B196="Kogi",B196="Kwara",B196="Nasarawa",B196="Niger",B196="Plateau",B196="FCT"),"North Central",
    OR(B196="Adamawa",B196="Bauchi",B196="Borno",B196="Gombe",B196="Taraba",B196="Yobe"),"North East",
    OR(B196="Kaduna",B196="Kano",B196="Katsina",B196="Kebbi",B196="Sokoto",B196="Zamfara","Jigawa"),"North West",
    OR(B196="Abia",B196="Anambra",B196="Ebonyi",B196="Enugu",B196="Imo"),"South East",
    OR(B196="Akwa Ibom",B196="Bayelsa",B196="Cross River",B196="Delta",B196="Edo",B196="Rivers"),"South South",
    OR(B196="Ekiti",B196="Lagos",B196="Ogun",B196="Ondo",B196="Osun",B196="Oyo"),"South West"
)</f>
        <v>North West</v>
      </c>
      <c r="H196">
        <f t="shared" si="3"/>
        <v>1700</v>
      </c>
    </row>
    <row r="197" spans="1:8" x14ac:dyDescent="0.35">
      <c r="A197" s="5">
        <v>2022</v>
      </c>
      <c r="B197" s="5" t="s">
        <v>6</v>
      </c>
      <c r="C197">
        <v>563</v>
      </c>
      <c r="D197" s="5">
        <v>563</v>
      </c>
      <c r="E197" s="6">
        <v>500</v>
      </c>
      <c r="F197" s="7">
        <v>63</v>
      </c>
      <c r="G197" t="str" cm="1">
        <f t="array" ref="G197">_xlfn.IFS(
    OR(B197="Benue",B197="Kogi",B197="Kwara",B197="Nasarawa",B197="Niger",B197="Plateau",B197="FCT"),"North Central",
    OR(B197="Adamawa",B197="Bauchi",B197="Borno",B197="Gombe",B197="Taraba",B197="Yobe"),"North East",
    OR(B197="Kaduna",B197="Kano",B197="Katsina",B197="Kebbi",B197="Sokoto",B197="Zamfara","Jigawa"),"North West",
    OR(B197="Abia",B197="Anambra",B197="Ebonyi",B197="Enugu",B197="Imo"),"South East",
    OR(B197="Akwa Ibom",B197="Bayelsa",B197="Cross River",B197="Delta",B197="Edo",B197="Rivers"),"South South",
    OR(B197="Ekiti",B197="Lagos",B197="Ogun",B197="Ondo",B197="Osun",B197="Oyo"),"South West"
)</f>
        <v>North West</v>
      </c>
      <c r="H197">
        <f t="shared" si="3"/>
        <v>563</v>
      </c>
    </row>
    <row r="198" spans="1:8" x14ac:dyDescent="0.35">
      <c r="A198" s="5">
        <v>2022</v>
      </c>
      <c r="B198" s="5" t="s">
        <v>6</v>
      </c>
      <c r="C198">
        <v>3600</v>
      </c>
      <c r="D198" s="5">
        <v>3600</v>
      </c>
      <c r="E198" s="6">
        <v>2000</v>
      </c>
      <c r="F198" s="7">
        <v>1600</v>
      </c>
      <c r="G198" t="str" cm="1">
        <f t="array" ref="G198">_xlfn.IFS(
    OR(B198="Benue",B198="Kogi",B198="Kwara",B198="Nasarawa",B198="Niger",B198="Plateau",B198="FCT"),"North Central",
    OR(B198="Adamawa",B198="Bauchi",B198="Borno",B198="Gombe",B198="Taraba",B198="Yobe"),"North East",
    OR(B198="Kaduna",B198="Kano",B198="Katsina",B198="Kebbi",B198="Sokoto",B198="Zamfara","Jigawa"),"North West",
    OR(B198="Abia",B198="Anambra",B198="Ebonyi",B198="Enugu",B198="Imo"),"South East",
    OR(B198="Akwa Ibom",B198="Bayelsa",B198="Cross River",B198="Delta",B198="Edo",B198="Rivers"),"South South",
    OR(B198="Ekiti",B198="Lagos",B198="Ogun",B198="Ondo",B198="Osun",B198="Oyo"),"South West"
)</f>
        <v>North West</v>
      </c>
      <c r="H198">
        <f t="shared" si="3"/>
        <v>3600</v>
      </c>
    </row>
    <row r="199" spans="1:8" x14ac:dyDescent="0.35">
      <c r="A199" s="5">
        <v>2022</v>
      </c>
      <c r="B199" s="5" t="s">
        <v>6</v>
      </c>
      <c r="C199">
        <v>3100</v>
      </c>
      <c r="D199" s="5">
        <v>3100</v>
      </c>
      <c r="E199" s="6">
        <v>3100</v>
      </c>
      <c r="G199" t="str" cm="1">
        <f t="array" ref="G199">_xlfn.IFS(
    OR(B199="Benue",B199="Kogi",B199="Kwara",B199="Nasarawa",B199="Niger",B199="Plateau",B199="FCT"),"North Central",
    OR(B199="Adamawa",B199="Bauchi",B199="Borno",B199="Gombe",B199="Taraba",B199="Yobe"),"North East",
    OR(B199="Kaduna",B199="Kano",B199="Katsina",B199="Kebbi",B199="Sokoto",B199="Zamfara","Jigawa"),"North West",
    OR(B199="Abia",B199="Anambra",B199="Ebonyi",B199="Enugu",B199="Imo"),"South East",
    OR(B199="Akwa Ibom",B199="Bayelsa",B199="Cross River",B199="Delta",B199="Edo",B199="Rivers"),"South South",
    OR(B199="Ekiti",B199="Lagos",B199="Ogun",B199="Ondo",B199="Osun",B199="Oyo"),"South West"
)</f>
        <v>North West</v>
      </c>
      <c r="H199">
        <f t="shared" si="3"/>
        <v>3100</v>
      </c>
    </row>
    <row r="200" spans="1:8" x14ac:dyDescent="0.35">
      <c r="A200" s="5">
        <v>2022</v>
      </c>
      <c r="B200" s="5" t="s">
        <v>9</v>
      </c>
      <c r="C200">
        <v>2000</v>
      </c>
      <c r="D200" s="5">
        <v>2000</v>
      </c>
      <c r="E200" s="6">
        <v>25</v>
      </c>
      <c r="F200" s="7">
        <v>1975</v>
      </c>
      <c r="G200" t="str" cm="1">
        <f t="array" ref="G200">_xlfn.IFS(
    OR(B200="Benue",B200="Kogi",B200="Kwara",B200="Nasarawa",B200="Niger",B200="Plateau",B200="FCT"),"North Central",
    OR(B200="Adamawa",B200="Bauchi",B200="Borno",B200="Gombe",B200="Taraba",B200="Yobe"),"North East",
    OR(B200="Kaduna",B200="Kano",B200="Katsina",B200="Kebbi",B200="Sokoto",B200="Zamfara","Jigawa"),"North West",
    OR(B200="Abia",B200="Anambra",B200="Ebonyi",B200="Enugu",B200="Imo"),"South East",
    OR(B200="Akwa Ibom",B200="Bayelsa",B200="Cross River",B200="Delta",B200="Edo",B200="Rivers"),"South South",
    OR(B200="Ekiti",B200="Lagos",B200="Ogun",B200="Ondo",B200="Osun",B200="Oyo"),"South West"
)</f>
        <v>North Central</v>
      </c>
      <c r="H200">
        <f t="shared" si="3"/>
        <v>2000</v>
      </c>
    </row>
    <row r="201" spans="1:8" x14ac:dyDescent="0.35">
      <c r="A201" s="5">
        <v>2022</v>
      </c>
      <c r="B201" s="5" t="s">
        <v>9</v>
      </c>
      <c r="C201">
        <v>400</v>
      </c>
      <c r="D201" s="5">
        <v>400</v>
      </c>
      <c r="E201" s="6">
        <v>18</v>
      </c>
      <c r="F201" s="7">
        <v>382</v>
      </c>
      <c r="G201" t="str" cm="1">
        <f t="array" ref="G201">_xlfn.IFS(
    OR(B201="Benue",B201="Kogi",B201="Kwara",B201="Nasarawa",B201="Niger",B201="Plateau",B201="FCT"),"North Central",
    OR(B201="Adamawa",B201="Bauchi",B201="Borno",B201="Gombe",B201="Taraba",B201="Yobe"),"North East",
    OR(B201="Kaduna",B201="Kano",B201="Katsina",B201="Kebbi",B201="Sokoto",B201="Zamfara","Jigawa"),"North West",
    OR(B201="Abia",B201="Anambra",B201="Ebonyi",B201="Enugu",B201="Imo"),"South East",
    OR(B201="Akwa Ibom",B201="Bayelsa",B201="Cross River",B201="Delta",B201="Edo",B201="Rivers"),"South South",
    OR(B201="Ekiti",B201="Lagos",B201="Ogun",B201="Ondo",B201="Osun",B201="Oyo"),"South West"
)</f>
        <v>North Central</v>
      </c>
      <c r="H201">
        <f t="shared" si="3"/>
        <v>400</v>
      </c>
    </row>
    <row r="202" spans="1:8" x14ac:dyDescent="0.35">
      <c r="A202" s="5">
        <v>2022</v>
      </c>
      <c r="B202" s="5" t="s">
        <v>9</v>
      </c>
      <c r="C202">
        <v>2000</v>
      </c>
      <c r="D202" s="5">
        <v>2000</v>
      </c>
      <c r="E202" s="6">
        <v>300</v>
      </c>
      <c r="F202" s="7">
        <v>1700</v>
      </c>
      <c r="G202" t="str" cm="1">
        <f t="array" ref="G202">_xlfn.IFS(
    OR(B202="Benue",B202="Kogi",B202="Kwara",B202="Nasarawa",B202="Niger",B202="Plateau",B202="FCT"),"North Central",
    OR(B202="Adamawa",B202="Bauchi",B202="Borno",B202="Gombe",B202="Taraba",B202="Yobe"),"North East",
    OR(B202="Kaduna",B202="Kano",B202="Katsina",B202="Kebbi",B202="Sokoto",B202="Zamfara","Jigawa"),"North West",
    OR(B202="Abia",B202="Anambra",B202="Ebonyi",B202="Enugu",B202="Imo"),"South East",
    OR(B202="Akwa Ibom",B202="Bayelsa",B202="Cross River",B202="Delta",B202="Edo",B202="Rivers"),"South South",
    OR(B202="Ekiti",B202="Lagos",B202="Ogun",B202="Ondo",B202="Osun",B202="Oyo"),"South West"
)</f>
        <v>North Central</v>
      </c>
      <c r="H202">
        <f t="shared" si="3"/>
        <v>2000</v>
      </c>
    </row>
    <row r="203" spans="1:8" ht="29" x14ac:dyDescent="0.35">
      <c r="A203" s="5">
        <v>2022</v>
      </c>
      <c r="B203" s="5" t="s">
        <v>28</v>
      </c>
      <c r="C203">
        <v>1560</v>
      </c>
      <c r="D203" s="5">
        <v>1560</v>
      </c>
      <c r="E203" s="6">
        <v>560</v>
      </c>
      <c r="F203" s="7">
        <v>1000</v>
      </c>
      <c r="G203" t="str" cm="1">
        <f t="array" ref="G203">_xlfn.IFS(
    OR(B203="Benue",B203="Kogi",B203="Kwara",B203="Nasarawa",B203="Niger",B203="Plateau",B203="FCT"),"North Central",
    OR(B203="Adamawa",B203="Bauchi",B203="Borno",B203="Gombe",B203="Taraba",B203="Yobe"),"North East",
    OR(B203="Kaduna",B203="Kano",B203="Katsina",B203="Kebbi",B203="Sokoto",B203="Zamfara","Jigawa"),"North West",
    OR(B203="Abia",B203="Anambra",B203="Ebonyi",B203="Enugu",B203="Imo"),"South East",
    OR(B203="Akwa Ibom",B203="Bayelsa",B203="Cross River",B203="Delta",B203="Edo",B203="Rivers"),"South South",
    OR(B203="Ekiti",B203="Lagos",B203="Ogun",B203="Ondo",B203="Osun",B203="Oyo"),"South West"
)</f>
        <v>North Central</v>
      </c>
      <c r="H203">
        <f t="shared" si="3"/>
        <v>1560</v>
      </c>
    </row>
    <row r="204" spans="1:8" x14ac:dyDescent="0.35">
      <c r="A204" s="5">
        <v>2022</v>
      </c>
      <c r="B204" s="5" t="s">
        <v>24</v>
      </c>
      <c r="C204">
        <v>14000</v>
      </c>
      <c r="D204" s="5">
        <v>14000</v>
      </c>
      <c r="E204" s="6">
        <v>13994</v>
      </c>
      <c r="F204" s="7">
        <v>6</v>
      </c>
      <c r="G204" t="str" cm="1">
        <f t="array" ref="G204">_xlfn.IFS(
    OR(B204="Benue",B204="Kogi",B204="Kwara",B204="Nasarawa",B204="Niger",B204="Plateau",B204="FCT"),"North Central",
    OR(B204="Adamawa",B204="Bauchi",B204="Borno",B204="Gombe",B204="Taraba",B204="Yobe"),"North East",
    OR(B204="Kaduna",B204="Kano",B204="Katsina",B204="Kebbi",B204="Sokoto",B204="Zamfara","Jigawa"),"North West",
    OR(B204="Abia",B204="Anambra",B204="Ebonyi",B204="Enugu",B204="Imo"),"South East",
    OR(B204="Akwa Ibom",B204="Bayelsa",B204="Cross River",B204="Delta",B204="Edo",B204="Rivers"),"South South",
    OR(B204="Ekiti",B204="Lagos",B204="Ogun",B204="Ondo",B204="Osun",B204="Oyo"),"South West"
)</f>
        <v>North West</v>
      </c>
      <c r="H204">
        <f t="shared" si="3"/>
        <v>14000</v>
      </c>
    </row>
    <row r="205" spans="1:8" x14ac:dyDescent="0.35">
      <c r="A205" s="5">
        <v>2022</v>
      </c>
      <c r="B205" s="5" t="s">
        <v>23</v>
      </c>
      <c r="C205">
        <v>3200</v>
      </c>
      <c r="D205" s="5">
        <v>3200</v>
      </c>
      <c r="E205" s="6">
        <v>350</v>
      </c>
      <c r="F205" s="7">
        <v>2850</v>
      </c>
      <c r="G205" t="str" cm="1">
        <f t="array" ref="G205">_xlfn.IFS(
    OR(B205="Benue",B205="Kogi",B205="Kwara",B205="Nasarawa",B205="Niger",B205="Plateau",B205="FCT"),"North Central",
    OR(B205="Adamawa",B205="Bauchi",B205="Borno",B205="Gombe",B205="Taraba",B205="Yobe"),"North East",
    OR(B205="Kaduna",B205="Kano",B205="Katsina",B205="Kebbi",B205="Sokoto",B205="Zamfara","Jigawa"),"North West",
    OR(B205="Abia",B205="Anambra",B205="Ebonyi",B205="Enugu",B205="Imo"),"South East",
    OR(B205="Akwa Ibom",B205="Bayelsa",B205="Cross River",B205="Delta",B205="Edo",B205="Rivers"),"South South",
    OR(B205="Ekiti",B205="Lagos",B205="Ogun",B205="Ondo",B205="Osun",B205="Oyo"),"South West"
)</f>
        <v>North East</v>
      </c>
      <c r="H205">
        <f t="shared" si="3"/>
        <v>3200</v>
      </c>
    </row>
    <row r="206" spans="1:8" x14ac:dyDescent="0.35">
      <c r="A206" s="5">
        <v>2022</v>
      </c>
      <c r="B206" s="5" t="s">
        <v>6</v>
      </c>
      <c r="C206">
        <v>31</v>
      </c>
      <c r="D206" s="5">
        <v>31</v>
      </c>
      <c r="E206" s="6">
        <v>27</v>
      </c>
      <c r="F206" s="7">
        <v>4</v>
      </c>
      <c r="G206" t="str" cm="1">
        <f t="array" ref="G206">_xlfn.IFS(
    OR(B206="Benue",B206="Kogi",B206="Kwara",B206="Nasarawa",B206="Niger",B206="Plateau",B206="FCT"),"North Central",
    OR(B206="Adamawa",B206="Bauchi",B206="Borno",B206="Gombe",B206="Taraba",B206="Yobe"),"North East",
    OR(B206="Kaduna",B206="Kano",B206="Katsina",B206="Kebbi",B206="Sokoto",B206="Zamfara","Jigawa"),"North West",
    OR(B206="Abia",B206="Anambra",B206="Ebonyi",B206="Enugu",B206="Imo"),"South East",
    OR(B206="Akwa Ibom",B206="Bayelsa",B206="Cross River",B206="Delta",B206="Edo",B206="Rivers"),"South South",
    OR(B206="Ekiti",B206="Lagos",B206="Ogun",B206="Ondo",B206="Osun",B206="Oyo"),"South West"
)</f>
        <v>North West</v>
      </c>
      <c r="H206">
        <f t="shared" si="3"/>
        <v>31</v>
      </c>
    </row>
    <row r="207" spans="1:8" x14ac:dyDescent="0.35">
      <c r="A207" s="5">
        <v>2022</v>
      </c>
      <c r="B207" s="5" t="s">
        <v>6</v>
      </c>
      <c r="C207">
        <v>2860</v>
      </c>
      <c r="D207" s="5">
        <v>2860</v>
      </c>
      <c r="E207" s="6">
        <v>1000</v>
      </c>
      <c r="F207" s="7">
        <v>1860</v>
      </c>
      <c r="G207" t="str" cm="1">
        <f t="array" ref="G207">_xlfn.IFS(
    OR(B207="Benue",B207="Kogi",B207="Kwara",B207="Nasarawa",B207="Niger",B207="Plateau",B207="FCT"),"North Central",
    OR(B207="Adamawa",B207="Bauchi",B207="Borno",B207="Gombe",B207="Taraba",B207="Yobe"),"North East",
    OR(B207="Kaduna",B207="Kano",B207="Katsina",B207="Kebbi",B207="Sokoto",B207="Zamfara","Jigawa"),"North West",
    OR(B207="Abia",B207="Anambra",B207="Ebonyi",B207="Enugu",B207="Imo"),"South East",
    OR(B207="Akwa Ibom",B207="Bayelsa",B207="Cross River",B207="Delta",B207="Edo",B207="Rivers"),"South South",
    OR(B207="Ekiti",B207="Lagos",B207="Ogun",B207="Ondo",B207="Osun",B207="Oyo"),"South West"
)</f>
        <v>North West</v>
      </c>
      <c r="H207">
        <f t="shared" si="3"/>
        <v>2860</v>
      </c>
    </row>
    <row r="208" spans="1:8" x14ac:dyDescent="0.35">
      <c r="A208" s="5">
        <v>2022</v>
      </c>
      <c r="B208" s="5" t="s">
        <v>6</v>
      </c>
      <c r="C208">
        <v>2970</v>
      </c>
      <c r="D208" s="5">
        <v>2970</v>
      </c>
      <c r="E208" s="6">
        <v>570</v>
      </c>
      <c r="F208" s="7">
        <v>2400</v>
      </c>
      <c r="G208" t="str" cm="1">
        <f t="array" ref="G208">_xlfn.IFS(
    OR(B208="Benue",B208="Kogi",B208="Kwara",B208="Nasarawa",B208="Niger",B208="Plateau",B208="FCT"),"North Central",
    OR(B208="Adamawa",B208="Bauchi",B208="Borno",B208="Gombe",B208="Taraba",B208="Yobe"),"North East",
    OR(B208="Kaduna",B208="Kano",B208="Katsina",B208="Kebbi",B208="Sokoto",B208="Zamfara","Jigawa"),"North West",
    OR(B208="Abia",B208="Anambra",B208="Ebonyi",B208="Enugu",B208="Imo"),"South East",
    OR(B208="Akwa Ibom",B208="Bayelsa",B208="Cross River",B208="Delta",B208="Edo",B208="Rivers"),"South South",
    OR(B208="Ekiti",B208="Lagos",B208="Ogun",B208="Ondo",B208="Osun",B208="Oyo"),"South West"
)</f>
        <v>North West</v>
      </c>
      <c r="H208">
        <f t="shared" si="3"/>
        <v>2970</v>
      </c>
    </row>
    <row r="209" spans="1:8" x14ac:dyDescent="0.35">
      <c r="A209" s="5">
        <v>2022</v>
      </c>
      <c r="B209" s="5" t="s">
        <v>6</v>
      </c>
      <c r="C209">
        <v>2966</v>
      </c>
      <c r="D209" s="5">
        <v>2966</v>
      </c>
      <c r="E209" s="6">
        <v>352</v>
      </c>
      <c r="F209" s="7">
        <v>2614</v>
      </c>
      <c r="G209" t="str" cm="1">
        <f t="array" ref="G209">_xlfn.IFS(
    OR(B209="Benue",B209="Kogi",B209="Kwara",B209="Nasarawa",B209="Niger",B209="Plateau",B209="FCT"),"North Central",
    OR(B209="Adamawa",B209="Bauchi",B209="Borno",B209="Gombe",B209="Taraba",B209="Yobe"),"North East",
    OR(B209="Kaduna",B209="Kano",B209="Katsina",B209="Kebbi",B209="Sokoto",B209="Zamfara","Jigawa"),"North West",
    OR(B209="Abia",B209="Anambra",B209="Ebonyi",B209="Enugu",B209="Imo"),"South East",
    OR(B209="Akwa Ibom",B209="Bayelsa",B209="Cross River",B209="Delta",B209="Edo",B209="Rivers"),"South South",
    OR(B209="Ekiti",B209="Lagos",B209="Ogun",B209="Ondo",B209="Osun",B209="Oyo"),"South West"
)</f>
        <v>North West</v>
      </c>
      <c r="H209">
        <f t="shared" si="3"/>
        <v>2966</v>
      </c>
    </row>
    <row r="210" spans="1:8" x14ac:dyDescent="0.35">
      <c r="A210" s="5">
        <v>2022</v>
      </c>
      <c r="B210" s="5" t="s">
        <v>6</v>
      </c>
      <c r="C210">
        <v>2900</v>
      </c>
      <c r="D210" s="5">
        <v>2900</v>
      </c>
      <c r="E210" s="6">
        <v>185</v>
      </c>
      <c r="F210" s="7">
        <v>2715</v>
      </c>
      <c r="G210" t="str" cm="1">
        <f t="array" ref="G210">_xlfn.IFS(
    OR(B210="Benue",B210="Kogi",B210="Kwara",B210="Nasarawa",B210="Niger",B210="Plateau",B210="FCT"),"North Central",
    OR(B210="Adamawa",B210="Bauchi",B210="Borno",B210="Gombe",B210="Taraba",B210="Yobe"),"North East",
    OR(B210="Kaduna",B210="Kano",B210="Katsina",B210="Kebbi",B210="Sokoto",B210="Zamfara","Jigawa"),"North West",
    OR(B210="Abia",B210="Anambra",B210="Ebonyi",B210="Enugu",B210="Imo"),"South East",
    OR(B210="Akwa Ibom",B210="Bayelsa",B210="Cross River",B210="Delta",B210="Edo",B210="Rivers"),"South South",
    OR(B210="Ekiti",B210="Lagos",B210="Ogun",B210="Ondo",B210="Osun",B210="Oyo"),"South West"
)</f>
        <v>North West</v>
      </c>
      <c r="H210">
        <f t="shared" si="3"/>
        <v>2900</v>
      </c>
    </row>
    <row r="211" spans="1:8" x14ac:dyDescent="0.35">
      <c r="A211" s="5">
        <v>2022</v>
      </c>
      <c r="B211" s="5" t="s">
        <v>23</v>
      </c>
      <c r="C211">
        <v>3200</v>
      </c>
      <c r="D211" s="5">
        <v>3200</v>
      </c>
      <c r="E211" s="6">
        <v>30</v>
      </c>
      <c r="F211" s="7">
        <v>3170</v>
      </c>
      <c r="G211" t="str" cm="1">
        <f t="array" ref="G211">_xlfn.IFS(
    OR(B211="Benue",B211="Kogi",B211="Kwara",B211="Nasarawa",B211="Niger",B211="Plateau",B211="FCT"),"North Central",
    OR(B211="Adamawa",B211="Bauchi",B211="Borno",B211="Gombe",B211="Taraba",B211="Yobe"),"North East",
    OR(B211="Kaduna",B211="Kano",B211="Katsina",B211="Kebbi",B211="Sokoto",B211="Zamfara","Jigawa"),"North West",
    OR(B211="Abia",B211="Anambra",B211="Ebonyi",B211="Enugu",B211="Imo"),"South East",
    OR(B211="Akwa Ibom",B211="Bayelsa",B211="Cross River",B211="Delta",B211="Edo",B211="Rivers"),"South South",
    OR(B211="Ekiti",B211="Lagos",B211="Ogun",B211="Ondo",B211="Osun",B211="Oyo"),"South West"
)</f>
        <v>North East</v>
      </c>
      <c r="H211">
        <f t="shared" si="3"/>
        <v>3200</v>
      </c>
    </row>
    <row r="212" spans="1:8" ht="29" x14ac:dyDescent="0.35">
      <c r="A212" s="5">
        <v>2022</v>
      </c>
      <c r="B212" s="5" t="s">
        <v>28</v>
      </c>
      <c r="C212">
        <v>800</v>
      </c>
      <c r="D212" s="5">
        <v>800</v>
      </c>
      <c r="E212" s="6">
        <v>100</v>
      </c>
      <c r="F212" s="7">
        <v>700</v>
      </c>
      <c r="G212" t="str" cm="1">
        <f t="array" ref="G212">_xlfn.IFS(
    OR(B212="Benue",B212="Kogi",B212="Kwara",B212="Nasarawa",B212="Niger",B212="Plateau",B212="FCT"),"North Central",
    OR(B212="Adamawa",B212="Bauchi",B212="Borno",B212="Gombe",B212="Taraba",B212="Yobe"),"North East",
    OR(B212="Kaduna",B212="Kano",B212="Katsina",B212="Kebbi",B212="Sokoto",B212="Zamfara","Jigawa"),"North West",
    OR(B212="Abia",B212="Anambra",B212="Ebonyi",B212="Enugu",B212="Imo"),"South East",
    OR(B212="Akwa Ibom",B212="Bayelsa",B212="Cross River",B212="Delta",B212="Edo",B212="Rivers"),"South South",
    OR(B212="Ekiti",B212="Lagos",B212="Ogun",B212="Ondo",B212="Osun",B212="Oyo"),"South West"
)</f>
        <v>North Central</v>
      </c>
      <c r="H212">
        <f t="shared" si="3"/>
        <v>800</v>
      </c>
    </row>
    <row r="213" spans="1:8" x14ac:dyDescent="0.35">
      <c r="A213" s="5">
        <v>2022</v>
      </c>
      <c r="B213" s="5" t="s">
        <v>9</v>
      </c>
      <c r="C213">
        <v>3500</v>
      </c>
      <c r="D213" s="5">
        <v>3000</v>
      </c>
      <c r="E213" s="6">
        <v>1000</v>
      </c>
      <c r="F213" s="7">
        <v>2500</v>
      </c>
      <c r="G213" t="str" cm="1">
        <f t="array" ref="G213">_xlfn.IFS(
    OR(B213="Benue",B213="Kogi",B213="Kwara",B213="Nasarawa",B213="Niger",B213="Plateau",B213="FCT"),"North Central",
    OR(B213="Adamawa",B213="Bauchi",B213="Borno",B213="Gombe",B213="Taraba",B213="Yobe"),"North East",
    OR(B213="Kaduna",B213="Kano",B213="Katsina",B213="Kebbi",B213="Sokoto",B213="Zamfara","Jigawa"),"North West",
    OR(B213="Abia",B213="Anambra",B213="Ebonyi",B213="Enugu",B213="Imo"),"South East",
    OR(B213="Akwa Ibom",B213="Bayelsa",B213="Cross River",B213="Delta",B213="Edo",B213="Rivers"),"South South",
    OR(B213="Ekiti",B213="Lagos",B213="Ogun",B213="Ondo",B213="Osun",B213="Oyo"),"South West"
)</f>
        <v>North Central</v>
      </c>
      <c r="H213">
        <f t="shared" si="3"/>
        <v>3500</v>
      </c>
    </row>
    <row r="214" spans="1:8" x14ac:dyDescent="0.35">
      <c r="A214" s="5">
        <v>2022</v>
      </c>
      <c r="B214" s="5" t="s">
        <v>9</v>
      </c>
      <c r="C214">
        <v>3000</v>
      </c>
      <c r="D214" s="5">
        <v>3000</v>
      </c>
      <c r="E214" s="6">
        <v>600</v>
      </c>
      <c r="F214" s="7">
        <v>2400</v>
      </c>
      <c r="G214" t="str" cm="1">
        <f t="array" ref="G214">_xlfn.IFS(
    OR(B214="Benue",B214="Kogi",B214="Kwara",B214="Nasarawa",B214="Niger",B214="Plateau",B214="FCT"),"North Central",
    OR(B214="Adamawa",B214="Bauchi",B214="Borno",B214="Gombe",B214="Taraba",B214="Yobe"),"North East",
    OR(B214="Kaduna",B214="Kano",B214="Katsina",B214="Kebbi",B214="Sokoto",B214="Zamfara","Jigawa"),"North West",
    OR(B214="Abia",B214="Anambra",B214="Ebonyi",B214="Enugu",B214="Imo"),"South East",
    OR(B214="Akwa Ibom",B214="Bayelsa",B214="Cross River",B214="Delta",B214="Edo",B214="Rivers"),"South South",
    OR(B214="Ekiti",B214="Lagos",B214="Ogun",B214="Ondo",B214="Osun",B214="Oyo"),"South West"
)</f>
        <v>North Central</v>
      </c>
      <c r="H214">
        <f t="shared" si="3"/>
        <v>3000</v>
      </c>
    </row>
    <row r="215" spans="1:8" x14ac:dyDescent="0.35">
      <c r="A215" s="5">
        <v>2022</v>
      </c>
      <c r="B215" s="5" t="s">
        <v>9</v>
      </c>
      <c r="C215">
        <v>1808</v>
      </c>
      <c r="D215" s="5">
        <v>1808</v>
      </c>
      <c r="E215" s="6">
        <v>39</v>
      </c>
      <c r="F215" s="7">
        <v>1769</v>
      </c>
      <c r="G215" t="str" cm="1">
        <f t="array" ref="G215">_xlfn.IFS(
    OR(B215="Benue",B215="Kogi",B215="Kwara",B215="Nasarawa",B215="Niger",B215="Plateau",B215="FCT"),"North Central",
    OR(B215="Adamawa",B215="Bauchi",B215="Borno",B215="Gombe",B215="Taraba",B215="Yobe"),"North East",
    OR(B215="Kaduna",B215="Kano",B215="Katsina",B215="Kebbi",B215="Sokoto",B215="Zamfara","Jigawa"),"North West",
    OR(B215="Abia",B215="Anambra",B215="Ebonyi",B215="Enugu",B215="Imo"),"South East",
    OR(B215="Akwa Ibom",B215="Bayelsa",B215="Cross River",B215="Delta",B215="Edo",B215="Rivers"),"South South",
    OR(B215="Ekiti",B215="Lagos",B215="Ogun",B215="Ondo",B215="Osun",B215="Oyo"),"South West"
)</f>
        <v>North Central</v>
      </c>
      <c r="H215">
        <f t="shared" si="3"/>
        <v>1808</v>
      </c>
    </row>
    <row r="216" spans="1:8" x14ac:dyDescent="0.35">
      <c r="A216" s="5">
        <v>2022</v>
      </c>
      <c r="B216" s="5" t="s">
        <v>14</v>
      </c>
      <c r="C216">
        <v>2800</v>
      </c>
      <c r="D216" s="5">
        <v>2800</v>
      </c>
      <c r="E216" s="6">
        <v>2187</v>
      </c>
      <c r="F216" s="7">
        <v>613</v>
      </c>
      <c r="G216" t="str" cm="1">
        <f t="array" ref="G216">_xlfn.IFS(
    OR(B216="Benue",B216="Kogi",B216="Kwara",B216="Nasarawa",B216="Niger",B216="Plateau",B216="FCT"),"North Central",
    OR(B216="Adamawa",B216="Bauchi",B216="Borno",B216="Gombe",B216="Taraba",B216="Yobe"),"North East",
    OR(B216="Kaduna",B216="Kano",B216="Katsina",B216="Kebbi",B216="Sokoto",B216="Zamfara","Jigawa"),"North West",
    OR(B216="Abia",B216="Anambra",B216="Ebonyi",B216="Enugu",B216="Imo"),"South East",
    OR(B216="Akwa Ibom",B216="Bayelsa",B216="Cross River",B216="Delta",B216="Edo",B216="Rivers"),"South South",
    OR(B216="Ekiti",B216="Lagos",B216="Ogun",B216="Ondo",B216="Osun",B216="Oyo"),"South West"
)</f>
        <v>North East</v>
      </c>
      <c r="H216">
        <f t="shared" si="3"/>
        <v>2800</v>
      </c>
    </row>
    <row r="217" spans="1:8" x14ac:dyDescent="0.35">
      <c r="A217" s="5">
        <v>2022</v>
      </c>
      <c r="B217" s="5" t="s">
        <v>22</v>
      </c>
      <c r="C217">
        <v>11000</v>
      </c>
      <c r="D217" s="5">
        <v>11000</v>
      </c>
      <c r="E217" s="6">
        <v>501</v>
      </c>
      <c r="F217" s="7">
        <v>10499</v>
      </c>
      <c r="G217" t="str" cm="1">
        <f t="array" ref="G217">_xlfn.IFS(
    OR(B217="Benue",B217="Kogi",B217="Kwara",B217="Nasarawa",B217="Niger",B217="Plateau",B217="FCT"),"North Central",
    OR(B217="Adamawa",B217="Bauchi",B217="Borno",B217="Gombe",B217="Taraba",B217="Yobe"),"North East",
    OR(B217="Kaduna",B217="Kano",B217="Katsina",B217="Kebbi",B217="Sokoto",B217="Zamfara","Jigawa"),"North West",
    OR(B217="Abia",B217="Anambra",B217="Ebonyi",B217="Enugu",B217="Imo"),"South East",
    OR(B217="Akwa Ibom",B217="Bayelsa",B217="Cross River",B217="Delta",B217="Edo",B217="Rivers"),"South South",
    OR(B217="Ekiti",B217="Lagos",B217="Ogun",B217="Ondo",B217="Osun",B217="Oyo"),"South West"
)</f>
        <v>South South</v>
      </c>
      <c r="H217">
        <f t="shared" si="3"/>
        <v>11000</v>
      </c>
    </row>
    <row r="218" spans="1:8" x14ac:dyDescent="0.35">
      <c r="A218" s="5">
        <v>2022</v>
      </c>
      <c r="B218" s="5" t="s">
        <v>22</v>
      </c>
      <c r="C218">
        <v>2000</v>
      </c>
      <c r="D218" s="5">
        <v>2000</v>
      </c>
      <c r="E218" s="6">
        <v>125</v>
      </c>
      <c r="F218" s="7">
        <v>1875</v>
      </c>
      <c r="G218" t="str" cm="1">
        <f t="array" ref="G218">_xlfn.IFS(
    OR(B218="Benue",B218="Kogi",B218="Kwara",B218="Nasarawa",B218="Niger",B218="Plateau",B218="FCT"),"North Central",
    OR(B218="Adamawa",B218="Bauchi",B218="Borno",B218="Gombe",B218="Taraba",B218="Yobe"),"North East",
    OR(B218="Kaduna",B218="Kano",B218="Katsina",B218="Kebbi",B218="Sokoto",B218="Zamfara","Jigawa"),"North West",
    OR(B218="Abia",B218="Anambra",B218="Ebonyi",B218="Enugu",B218="Imo"),"South East",
    OR(B218="Akwa Ibom",B218="Bayelsa",B218="Cross River",B218="Delta",B218="Edo",B218="Rivers"),"South South",
    OR(B218="Ekiti",B218="Lagos",B218="Ogun",B218="Ondo",B218="Osun",B218="Oyo"),"South West"
)</f>
        <v>South South</v>
      </c>
      <c r="H218">
        <f t="shared" si="3"/>
        <v>2000</v>
      </c>
    </row>
    <row r="219" spans="1:8" x14ac:dyDescent="0.35">
      <c r="A219" s="5">
        <v>2022</v>
      </c>
      <c r="B219" s="5" t="s">
        <v>26</v>
      </c>
      <c r="C219">
        <v>145</v>
      </c>
      <c r="D219" s="5">
        <v>145</v>
      </c>
      <c r="E219" s="6">
        <v>125</v>
      </c>
      <c r="F219" s="7">
        <v>20</v>
      </c>
      <c r="G219" t="str" cm="1">
        <f t="array" ref="G219">_xlfn.IFS(
    OR(B219="Benue",B219="Kogi",B219="Kwara",B219="Nasarawa",B219="Niger",B219="Plateau",B219="FCT"),"North Central",
    OR(B219="Adamawa",B219="Bauchi",B219="Borno",B219="Gombe",B219="Taraba",B219="Yobe"),"North East",
    OR(B219="Kaduna",B219="Kano",B219="Katsina",B219="Kebbi",B219="Sokoto",B219="Zamfara","Jigawa"),"North West",
    OR(B219="Abia",B219="Anambra",B219="Ebonyi",B219="Enugu",B219="Imo"),"South East",
    OR(B219="Akwa Ibom",B219="Bayelsa",B219="Cross River",B219="Delta",B219="Edo",B219="Rivers"),"South South",
    OR(B219="Ekiti",B219="Lagos",B219="Ogun",B219="Ondo",B219="Osun",B219="Oyo"),"South West"
)</f>
        <v>North Central</v>
      </c>
      <c r="H219">
        <f t="shared" si="3"/>
        <v>145</v>
      </c>
    </row>
    <row r="220" spans="1:8" ht="29" x14ac:dyDescent="0.35">
      <c r="A220" s="5">
        <v>2022</v>
      </c>
      <c r="B220" s="5" t="s">
        <v>28</v>
      </c>
      <c r="C220">
        <v>5000</v>
      </c>
      <c r="D220" s="5">
        <v>5000</v>
      </c>
      <c r="E220" s="6">
        <v>1000</v>
      </c>
      <c r="F220" s="7">
        <v>4000</v>
      </c>
      <c r="G220" t="str" cm="1">
        <f t="array" ref="G220">_xlfn.IFS(
    OR(B220="Benue",B220="Kogi",B220="Kwara",B220="Nasarawa",B220="Niger",B220="Plateau",B220="FCT"),"North Central",
    OR(B220="Adamawa",B220="Bauchi",B220="Borno",B220="Gombe",B220="Taraba",B220="Yobe"),"North East",
    OR(B220="Kaduna",B220="Kano",B220="Katsina",B220="Kebbi",B220="Sokoto",B220="Zamfara","Jigawa"),"North West",
    OR(B220="Abia",B220="Anambra",B220="Ebonyi",B220="Enugu",B220="Imo"),"South East",
    OR(B220="Akwa Ibom",B220="Bayelsa",B220="Cross River",B220="Delta",B220="Edo",B220="Rivers"),"South South",
    OR(B220="Ekiti",B220="Lagos",B220="Ogun",B220="Ondo",B220="Osun",B220="Oyo"),"South West"
)</f>
        <v>North Central</v>
      </c>
      <c r="H220">
        <f t="shared" si="3"/>
        <v>5000</v>
      </c>
    </row>
    <row r="221" spans="1:8" x14ac:dyDescent="0.35">
      <c r="A221" s="5">
        <v>2022</v>
      </c>
      <c r="B221" s="5" t="s">
        <v>24</v>
      </c>
      <c r="C221">
        <v>3000</v>
      </c>
      <c r="D221" s="5">
        <v>3000</v>
      </c>
      <c r="E221" s="6">
        <v>750</v>
      </c>
      <c r="F221" s="7">
        <v>2250</v>
      </c>
      <c r="G221" t="str" cm="1">
        <f t="array" ref="G221">_xlfn.IFS(
    OR(B221="Benue",B221="Kogi",B221="Kwara",B221="Nasarawa",B221="Niger",B221="Plateau",B221="FCT"),"North Central",
    OR(B221="Adamawa",B221="Bauchi",B221="Borno",B221="Gombe",B221="Taraba",B221="Yobe"),"North East",
    OR(B221="Kaduna",B221="Kano",B221="Katsina",B221="Kebbi",B221="Sokoto",B221="Zamfara","Jigawa"),"North West",
    OR(B221="Abia",B221="Anambra",B221="Ebonyi",B221="Enugu",B221="Imo"),"South East",
    OR(B221="Akwa Ibom",B221="Bayelsa",B221="Cross River",B221="Delta",B221="Edo",B221="Rivers"),"South South",
    OR(B221="Ekiti",B221="Lagos",B221="Ogun",B221="Ondo",B221="Osun",B221="Oyo"),"South West"
)</f>
        <v>North West</v>
      </c>
      <c r="H221">
        <f t="shared" si="3"/>
        <v>3000</v>
      </c>
    </row>
    <row r="222" spans="1:8" x14ac:dyDescent="0.35">
      <c r="A222" s="5">
        <v>2022</v>
      </c>
      <c r="B222" s="5" t="s">
        <v>24</v>
      </c>
      <c r="C222">
        <v>32000</v>
      </c>
      <c r="D222" s="5">
        <v>32000</v>
      </c>
      <c r="E222" s="6">
        <v>1500</v>
      </c>
      <c r="F222" s="7">
        <v>30500</v>
      </c>
      <c r="G222" t="str" cm="1">
        <f t="array" ref="G222">_xlfn.IFS(
    OR(B222="Benue",B222="Kogi",B222="Kwara",B222="Nasarawa",B222="Niger",B222="Plateau",B222="FCT"),"North Central",
    OR(B222="Adamawa",B222="Bauchi",B222="Borno",B222="Gombe",B222="Taraba",B222="Yobe"),"North East",
    OR(B222="Kaduna",B222="Kano",B222="Katsina",B222="Kebbi",B222="Sokoto",B222="Zamfara","Jigawa"),"North West",
    OR(B222="Abia",B222="Anambra",B222="Ebonyi",B222="Enugu",B222="Imo"),"South East",
    OR(B222="Akwa Ibom",B222="Bayelsa",B222="Cross River",B222="Delta",B222="Edo",B222="Rivers"),"South South",
    OR(B222="Ekiti",B222="Lagos",B222="Ogun",B222="Ondo",B222="Osun",B222="Oyo"),"South West"
)</f>
        <v>North West</v>
      </c>
      <c r="H222">
        <f t="shared" si="3"/>
        <v>32000</v>
      </c>
    </row>
    <row r="223" spans="1:8" x14ac:dyDescent="0.35">
      <c r="A223" s="5">
        <v>2021</v>
      </c>
      <c r="B223" s="5" t="s">
        <v>12</v>
      </c>
      <c r="C223">
        <v>3000</v>
      </c>
      <c r="D223" s="5">
        <v>3000</v>
      </c>
      <c r="E223" s="6">
        <v>2500</v>
      </c>
      <c r="F223" s="7">
        <v>500</v>
      </c>
      <c r="G223" t="str" cm="1">
        <f t="array" ref="G223">_xlfn.IFS(
    OR(B223="Benue",B223="Kogi",B223="Kwara",B223="Nasarawa",B223="Niger",B223="Plateau",B223="FCT"),"North Central",
    OR(B223="Adamawa",B223="Bauchi",B223="Borno",B223="Gombe",B223="Taraba",B223="Yobe"),"North East",
    OR(B223="Kaduna",B223="Kano",B223="Katsina",B223="Kebbi",B223="Sokoto",B223="Zamfara","Jigawa"),"North West",
    OR(B223="Abia",B223="Anambra",B223="Ebonyi",B223="Enugu",B223="Imo"),"South East",
    OR(B223="Akwa Ibom",B223="Bayelsa",B223="Cross River",B223="Delta",B223="Edo",B223="Rivers"),"South South",
    OR(B223="Ekiti",B223="Lagos",B223="Ogun",B223="Ondo",B223="Osun",B223="Oyo"),"South West"
)</f>
        <v>South South</v>
      </c>
      <c r="H223">
        <f t="shared" si="3"/>
        <v>3000</v>
      </c>
    </row>
    <row r="224" spans="1:8" x14ac:dyDescent="0.35">
      <c r="A224" s="5">
        <v>2021</v>
      </c>
      <c r="B224" s="5" t="s">
        <v>29</v>
      </c>
      <c r="C224">
        <v>2000</v>
      </c>
      <c r="D224" s="5">
        <v>2000</v>
      </c>
      <c r="E224" s="6">
        <v>85</v>
      </c>
      <c r="F224" s="7">
        <v>1915</v>
      </c>
      <c r="G224" t="str" cm="1">
        <f t="array" ref="G224">_xlfn.IFS(
    OR(B224="Benue",B224="Kogi",B224="Kwara",B224="Nasarawa",B224="Niger",B224="Plateau",B224="FCT"),"North Central",
    OR(B224="Adamawa",B224="Bauchi",B224="Borno",B224="Gombe",B224="Taraba",B224="Yobe"),"North East",
    OR(B224="Kaduna",B224="Kano",B224="Katsina",B224="Kebbi",B224="Sokoto",B224="Zamfara","Jigawa"),"North West",
    OR(B224="Abia",B224="Anambra",B224="Ebonyi",B224="Enugu",B224="Imo"),"South East",
    OR(B224="Akwa Ibom",B224="Bayelsa",B224="Cross River",B224="Delta",B224="Edo",B224="Rivers"),"South South",
    OR(B224="Ekiti",B224="Lagos",B224="Ogun",B224="Ondo",B224="Osun",B224="Oyo"),"South West"
)</f>
        <v>South East</v>
      </c>
      <c r="H224">
        <f t="shared" si="3"/>
        <v>2000</v>
      </c>
    </row>
    <row r="225" spans="1:8" x14ac:dyDescent="0.35">
      <c r="A225" s="5">
        <v>2021</v>
      </c>
      <c r="B225" s="5" t="s">
        <v>14</v>
      </c>
      <c r="C225">
        <v>2200</v>
      </c>
      <c r="D225" s="5">
        <v>2200</v>
      </c>
      <c r="E225" s="6">
        <v>560</v>
      </c>
      <c r="F225" s="7">
        <v>1640</v>
      </c>
      <c r="G225" t="str" cm="1">
        <f t="array" ref="G225">_xlfn.IFS(
    OR(B225="Benue",B225="Kogi",B225="Kwara",B225="Nasarawa",B225="Niger",B225="Plateau",B225="FCT"),"North Central",
    OR(B225="Adamawa",B225="Bauchi",B225="Borno",B225="Gombe",B225="Taraba",B225="Yobe"),"North East",
    OR(B225="Kaduna",B225="Kano",B225="Katsina",B225="Kebbi",B225="Sokoto",B225="Zamfara","Jigawa"),"North West",
    OR(B225="Abia",B225="Anambra",B225="Ebonyi",B225="Enugu",B225="Imo"),"South East",
    OR(B225="Akwa Ibom",B225="Bayelsa",B225="Cross River",B225="Delta",B225="Edo",B225="Rivers"),"South South",
    OR(B225="Ekiti",B225="Lagos",B225="Ogun",B225="Ondo",B225="Osun",B225="Oyo"),"South West"
)</f>
        <v>North East</v>
      </c>
      <c r="H225">
        <f t="shared" si="3"/>
        <v>2200</v>
      </c>
    </row>
    <row r="226" spans="1:8" x14ac:dyDescent="0.35">
      <c r="A226" s="5">
        <v>2021</v>
      </c>
      <c r="B226" s="5" t="s">
        <v>9</v>
      </c>
      <c r="C226">
        <v>2015</v>
      </c>
      <c r="D226" s="5">
        <v>2015</v>
      </c>
      <c r="E226" s="6">
        <v>515</v>
      </c>
      <c r="F226" s="7">
        <v>1500</v>
      </c>
      <c r="G226" t="str" cm="1">
        <f t="array" ref="G226">_xlfn.IFS(
    OR(B226="Benue",B226="Kogi",B226="Kwara",B226="Nasarawa",B226="Niger",B226="Plateau",B226="FCT"),"North Central",
    OR(B226="Adamawa",B226="Bauchi",B226="Borno",B226="Gombe",B226="Taraba",B226="Yobe"),"North East",
    OR(B226="Kaduna",B226="Kano",B226="Katsina",B226="Kebbi",B226="Sokoto",B226="Zamfara","Jigawa"),"North West",
    OR(B226="Abia",B226="Anambra",B226="Ebonyi",B226="Enugu",B226="Imo"),"South East",
    OR(B226="Akwa Ibom",B226="Bayelsa",B226="Cross River",B226="Delta",B226="Edo",B226="Rivers"),"South South",
    OR(B226="Ekiti",B226="Lagos",B226="Ogun",B226="Ondo",B226="Osun",B226="Oyo"),"South West"
)</f>
        <v>North Central</v>
      </c>
      <c r="H226">
        <f t="shared" si="3"/>
        <v>2015</v>
      </c>
    </row>
    <row r="227" spans="1:8" x14ac:dyDescent="0.35">
      <c r="A227" s="5">
        <v>2021</v>
      </c>
      <c r="B227" s="5" t="s">
        <v>9</v>
      </c>
      <c r="C227">
        <v>9000</v>
      </c>
      <c r="D227" s="5">
        <v>9000</v>
      </c>
      <c r="E227" s="6">
        <v>1300</v>
      </c>
      <c r="F227" s="7">
        <v>7700</v>
      </c>
      <c r="G227" t="str" cm="1">
        <f t="array" ref="G227">_xlfn.IFS(
    OR(B227="Benue",B227="Kogi",B227="Kwara",B227="Nasarawa",B227="Niger",B227="Plateau",B227="FCT"),"North Central",
    OR(B227="Adamawa",B227="Bauchi",B227="Borno",B227="Gombe",B227="Taraba",B227="Yobe"),"North East",
    OR(B227="Kaduna",B227="Kano",B227="Katsina",B227="Kebbi",B227="Sokoto",B227="Zamfara","Jigawa"),"North West",
    OR(B227="Abia",B227="Anambra",B227="Ebonyi",B227="Enugu",B227="Imo"),"South East",
    OR(B227="Akwa Ibom",B227="Bayelsa",B227="Cross River",B227="Delta",B227="Edo",B227="Rivers"),"South South",
    OR(B227="Ekiti",B227="Lagos",B227="Ogun",B227="Ondo",B227="Osun",B227="Oyo"),"South West"
)</f>
        <v>North Central</v>
      </c>
      <c r="H227">
        <f t="shared" si="3"/>
        <v>9000</v>
      </c>
    </row>
    <row r="228" spans="1:8" x14ac:dyDescent="0.35">
      <c r="A228" s="5">
        <v>2021</v>
      </c>
      <c r="B228" s="5" t="s">
        <v>29</v>
      </c>
      <c r="C228">
        <v>200</v>
      </c>
      <c r="D228" s="5">
        <v>200</v>
      </c>
      <c r="E228" s="6">
        <v>65</v>
      </c>
      <c r="F228" s="7">
        <v>135</v>
      </c>
      <c r="G228" t="str" cm="1">
        <f t="array" ref="G228">_xlfn.IFS(
    OR(B228="Benue",B228="Kogi",B228="Kwara",B228="Nasarawa",B228="Niger",B228="Plateau",B228="FCT"),"North Central",
    OR(B228="Adamawa",B228="Bauchi",B228="Borno",B228="Gombe",B228="Taraba",B228="Yobe"),"North East",
    OR(B228="Kaduna",B228="Kano",B228="Katsina",B228="Kebbi",B228="Sokoto",B228="Zamfara","Jigawa"),"North West",
    OR(B228="Abia",B228="Anambra",B228="Ebonyi",B228="Enugu",B228="Imo"),"South East",
    OR(B228="Akwa Ibom",B228="Bayelsa",B228="Cross River",B228="Delta",B228="Edo",B228="Rivers"),"South South",
    OR(B228="Ekiti",B228="Lagos",B228="Ogun",B228="Ondo",B228="Osun",B228="Oyo"),"South West"
)</f>
        <v>South East</v>
      </c>
      <c r="H228">
        <f t="shared" si="3"/>
        <v>200</v>
      </c>
    </row>
    <row r="229" spans="1:8" x14ac:dyDescent="0.35">
      <c r="A229" s="5">
        <v>2021</v>
      </c>
      <c r="B229" s="5" t="s">
        <v>14</v>
      </c>
      <c r="C229">
        <v>7234</v>
      </c>
      <c r="D229" s="5">
        <v>7234</v>
      </c>
      <c r="E229" s="6">
        <v>819</v>
      </c>
      <c r="F229" s="7">
        <v>6415</v>
      </c>
      <c r="G229" t="str" cm="1">
        <f t="array" ref="G229">_xlfn.IFS(
    OR(B229="Benue",B229="Kogi",B229="Kwara",B229="Nasarawa",B229="Niger",B229="Plateau",B229="FCT"),"North Central",
    OR(B229="Adamawa",B229="Bauchi",B229="Borno",B229="Gombe",B229="Taraba",B229="Yobe"),"North East",
    OR(B229="Kaduna",B229="Kano",B229="Katsina",B229="Kebbi",B229="Sokoto",B229="Zamfara","Jigawa"),"North West",
    OR(B229="Abia",B229="Anambra",B229="Ebonyi",B229="Enugu",B229="Imo"),"South East",
    OR(B229="Akwa Ibom",B229="Bayelsa",B229="Cross River",B229="Delta",B229="Edo",B229="Rivers"),"South South",
    OR(B229="Ekiti",B229="Lagos",B229="Ogun",B229="Ondo",B229="Osun",B229="Oyo"),"South West"
)</f>
        <v>North East</v>
      </c>
      <c r="H229">
        <f t="shared" si="3"/>
        <v>7234</v>
      </c>
    </row>
    <row r="230" spans="1:8" x14ac:dyDescent="0.35">
      <c r="A230" s="5">
        <v>2021</v>
      </c>
      <c r="B230" s="5" t="s">
        <v>14</v>
      </c>
      <c r="C230">
        <v>8271</v>
      </c>
      <c r="D230" s="5">
        <v>8271</v>
      </c>
      <c r="E230" s="6">
        <v>943</v>
      </c>
      <c r="F230" s="7">
        <v>7328</v>
      </c>
      <c r="G230" t="str" cm="1">
        <f t="array" ref="G230">_xlfn.IFS(
    OR(B230="Benue",B230="Kogi",B230="Kwara",B230="Nasarawa",B230="Niger",B230="Plateau",B230="FCT"),"North Central",
    OR(B230="Adamawa",B230="Bauchi",B230="Borno",B230="Gombe",B230="Taraba",B230="Yobe"),"North East",
    OR(B230="Kaduna",B230="Kano",B230="Katsina",B230="Kebbi",B230="Sokoto",B230="Zamfara","Jigawa"),"North West",
    OR(B230="Abia",B230="Anambra",B230="Ebonyi",B230="Enugu",B230="Imo"),"South East",
    OR(B230="Akwa Ibom",B230="Bayelsa",B230="Cross River",B230="Delta",B230="Edo",B230="Rivers"),"South South",
    OR(B230="Ekiti",B230="Lagos",B230="Ogun",B230="Ondo",B230="Osun",B230="Oyo"),"South West"
)</f>
        <v>North East</v>
      </c>
      <c r="H230">
        <f t="shared" si="3"/>
        <v>8271</v>
      </c>
    </row>
    <row r="231" spans="1:8" x14ac:dyDescent="0.35">
      <c r="A231" s="5">
        <v>2021</v>
      </c>
      <c r="B231" s="5" t="s">
        <v>23</v>
      </c>
      <c r="C231">
        <v>34</v>
      </c>
      <c r="D231" s="5">
        <v>34</v>
      </c>
      <c r="E231" s="6">
        <v>3</v>
      </c>
      <c r="F231" s="7">
        <v>31</v>
      </c>
      <c r="G231" t="str" cm="1">
        <f t="array" ref="G231">_xlfn.IFS(
    OR(B231="Benue",B231="Kogi",B231="Kwara",B231="Nasarawa",B231="Niger",B231="Plateau",B231="FCT"),"North Central",
    OR(B231="Adamawa",B231="Bauchi",B231="Borno",B231="Gombe",B231="Taraba",B231="Yobe"),"North East",
    OR(B231="Kaduna",B231="Kano",B231="Katsina",B231="Kebbi",B231="Sokoto",B231="Zamfara","Jigawa"),"North West",
    OR(B231="Abia",B231="Anambra",B231="Ebonyi",B231="Enugu",B231="Imo"),"South East",
    OR(B231="Akwa Ibom",B231="Bayelsa",B231="Cross River",B231="Delta",B231="Edo",B231="Rivers"),"South South",
    OR(B231="Ekiti",B231="Lagos",B231="Ogun",B231="Ondo",B231="Osun",B231="Oyo"),"South West"
)</f>
        <v>North East</v>
      </c>
      <c r="H231">
        <f t="shared" si="3"/>
        <v>34</v>
      </c>
    </row>
    <row r="232" spans="1:8" x14ac:dyDescent="0.35">
      <c r="A232" s="5">
        <v>2021</v>
      </c>
      <c r="B232" s="5" t="s">
        <v>23</v>
      </c>
      <c r="C232">
        <v>66</v>
      </c>
      <c r="D232" s="5">
        <v>66</v>
      </c>
      <c r="E232" s="6">
        <v>6</v>
      </c>
      <c r="F232" s="7">
        <v>60</v>
      </c>
      <c r="G232" t="str" cm="1">
        <f t="array" ref="G232">_xlfn.IFS(
    OR(B232="Benue",B232="Kogi",B232="Kwara",B232="Nasarawa",B232="Niger",B232="Plateau",B232="FCT"),"North Central",
    OR(B232="Adamawa",B232="Bauchi",B232="Borno",B232="Gombe",B232="Taraba",B232="Yobe"),"North East",
    OR(B232="Kaduna",B232="Kano",B232="Katsina",B232="Kebbi",B232="Sokoto",B232="Zamfara","Jigawa"),"North West",
    OR(B232="Abia",B232="Anambra",B232="Ebonyi",B232="Enugu",B232="Imo"),"South East",
    OR(B232="Akwa Ibom",B232="Bayelsa",B232="Cross River",B232="Delta",B232="Edo",B232="Rivers"),"South South",
    OR(B232="Ekiti",B232="Lagos",B232="Ogun",B232="Ondo",B232="Osun",B232="Oyo"),"South West"
)</f>
        <v>North East</v>
      </c>
      <c r="H232">
        <f t="shared" si="3"/>
        <v>66</v>
      </c>
    </row>
    <row r="233" spans="1:8" x14ac:dyDescent="0.35">
      <c r="A233" s="5">
        <v>2021</v>
      </c>
      <c r="B233" s="5" t="s">
        <v>9</v>
      </c>
      <c r="C233">
        <v>1600</v>
      </c>
      <c r="D233" s="5">
        <v>1600</v>
      </c>
      <c r="E233" s="6">
        <v>36</v>
      </c>
      <c r="F233" s="7">
        <v>1564</v>
      </c>
      <c r="G233" t="str" cm="1">
        <f t="array" ref="G233">_xlfn.IFS(
    OR(B233="Benue",B233="Kogi",B233="Kwara",B233="Nasarawa",B233="Niger",B233="Plateau",B233="FCT"),"North Central",
    OR(B233="Adamawa",B233="Bauchi",B233="Borno",B233="Gombe",B233="Taraba",B233="Yobe"),"North East",
    OR(B233="Kaduna",B233="Kano",B233="Katsina",B233="Kebbi",B233="Sokoto",B233="Zamfara","Jigawa"),"North West",
    OR(B233="Abia",B233="Anambra",B233="Ebonyi",B233="Enugu",B233="Imo"),"South East",
    OR(B233="Akwa Ibom",B233="Bayelsa",B233="Cross River",B233="Delta",B233="Edo",B233="Rivers"),"South South",
    OR(B233="Ekiti",B233="Lagos",B233="Ogun",B233="Ondo",B233="Osun",B233="Oyo"),"South West"
)</f>
        <v>North Central</v>
      </c>
      <c r="H233">
        <f t="shared" si="3"/>
        <v>1600</v>
      </c>
    </row>
    <row r="234" spans="1:8" x14ac:dyDescent="0.35">
      <c r="A234" s="5">
        <v>2021</v>
      </c>
      <c r="B234" s="5" t="s">
        <v>23</v>
      </c>
      <c r="C234">
        <v>14</v>
      </c>
      <c r="D234" s="5">
        <v>14</v>
      </c>
      <c r="E234" s="6">
        <v>14</v>
      </c>
      <c r="G234" t="str" cm="1">
        <f t="array" ref="G234">_xlfn.IFS(
    OR(B234="Benue",B234="Kogi",B234="Kwara",B234="Nasarawa",B234="Niger",B234="Plateau",B234="FCT"),"North Central",
    OR(B234="Adamawa",B234="Bauchi",B234="Borno",B234="Gombe",B234="Taraba",B234="Yobe"),"North East",
    OR(B234="Kaduna",B234="Kano",B234="Katsina",B234="Kebbi",B234="Sokoto",B234="Zamfara","Jigawa"),"North West",
    OR(B234="Abia",B234="Anambra",B234="Ebonyi",B234="Enugu",B234="Imo"),"South East",
    OR(B234="Akwa Ibom",B234="Bayelsa",B234="Cross River",B234="Delta",B234="Edo",B234="Rivers"),"South South",
    OR(B234="Ekiti",B234="Lagos",B234="Ogun",B234="Ondo",B234="Osun",B234="Oyo"),"South West"
)</f>
        <v>North East</v>
      </c>
      <c r="H234">
        <f t="shared" si="3"/>
        <v>14</v>
      </c>
    </row>
    <row r="235" spans="1:8" x14ac:dyDescent="0.35">
      <c r="A235" s="5">
        <v>2021</v>
      </c>
      <c r="B235" s="5" t="s">
        <v>9</v>
      </c>
      <c r="C235">
        <v>540</v>
      </c>
      <c r="D235" s="5">
        <v>450</v>
      </c>
      <c r="E235" s="6">
        <v>164</v>
      </c>
      <c r="F235" s="7">
        <v>376</v>
      </c>
      <c r="G235" t="str" cm="1">
        <f t="array" ref="G235">_xlfn.IFS(
    OR(B235="Benue",B235="Kogi",B235="Kwara",B235="Nasarawa",B235="Niger",B235="Plateau",B235="FCT"),"North Central",
    OR(B235="Adamawa",B235="Bauchi",B235="Borno",B235="Gombe",B235="Taraba",B235="Yobe"),"North East",
    OR(B235="Kaduna",B235="Kano",B235="Katsina",B235="Kebbi",B235="Sokoto",B235="Zamfara","Jigawa"),"North West",
    OR(B235="Abia",B235="Anambra",B235="Ebonyi",B235="Enugu",B235="Imo"),"South East",
    OR(B235="Akwa Ibom",B235="Bayelsa",B235="Cross River",B235="Delta",B235="Edo",B235="Rivers"),"South South",
    OR(B235="Ekiti",B235="Lagos",B235="Ogun",B235="Ondo",B235="Osun",B235="Oyo"),"South West"
)</f>
        <v>North Central</v>
      </c>
      <c r="H235">
        <f t="shared" si="3"/>
        <v>540</v>
      </c>
    </row>
    <row r="236" spans="1:8" x14ac:dyDescent="0.35">
      <c r="A236" s="5">
        <v>2021</v>
      </c>
      <c r="B236" s="5" t="s">
        <v>14</v>
      </c>
      <c r="C236">
        <v>9760</v>
      </c>
      <c r="D236" s="5">
        <v>9760</v>
      </c>
      <c r="E236" s="6">
        <v>211</v>
      </c>
      <c r="F236" s="7">
        <v>9549</v>
      </c>
      <c r="G236" t="str" cm="1">
        <f t="array" ref="G236">_xlfn.IFS(
    OR(B236="Benue",B236="Kogi",B236="Kwara",B236="Nasarawa",B236="Niger",B236="Plateau",B236="FCT"),"North Central",
    OR(B236="Adamawa",B236="Bauchi",B236="Borno",B236="Gombe",B236="Taraba",B236="Yobe"),"North East",
    OR(B236="Kaduna",B236="Kano",B236="Katsina",B236="Kebbi",B236="Sokoto",B236="Zamfara","Jigawa"),"North West",
    OR(B236="Abia",B236="Anambra",B236="Ebonyi",B236="Enugu",B236="Imo"),"South East",
    OR(B236="Akwa Ibom",B236="Bayelsa",B236="Cross River",B236="Delta",B236="Edo",B236="Rivers"),"South South",
    OR(B236="Ekiti",B236="Lagos",B236="Ogun",B236="Ondo",B236="Osun",B236="Oyo"),"South West"
)</f>
        <v>North East</v>
      </c>
      <c r="H236">
        <f t="shared" si="3"/>
        <v>9760</v>
      </c>
    </row>
    <row r="237" spans="1:8" x14ac:dyDescent="0.35">
      <c r="A237" s="5">
        <v>2021</v>
      </c>
      <c r="B237" s="5" t="s">
        <v>23</v>
      </c>
      <c r="C237">
        <v>12</v>
      </c>
      <c r="D237" s="5">
        <v>12</v>
      </c>
      <c r="E237" s="6">
        <v>6</v>
      </c>
      <c r="F237" s="7">
        <v>6</v>
      </c>
      <c r="G237" t="str" cm="1">
        <f t="array" ref="G237">_xlfn.IFS(
    OR(B237="Benue",B237="Kogi",B237="Kwara",B237="Nasarawa",B237="Niger",B237="Plateau",B237="FCT"),"North Central",
    OR(B237="Adamawa",B237="Bauchi",B237="Borno",B237="Gombe",B237="Taraba",B237="Yobe"),"North East",
    OR(B237="Kaduna",B237="Kano",B237="Katsina",B237="Kebbi",B237="Sokoto",B237="Zamfara","Jigawa"),"North West",
    OR(B237="Abia",B237="Anambra",B237="Ebonyi",B237="Enugu",B237="Imo"),"South East",
    OR(B237="Akwa Ibom",B237="Bayelsa",B237="Cross River",B237="Delta",B237="Edo",B237="Rivers"),"South South",
    OR(B237="Ekiti",B237="Lagos",B237="Ogun",B237="Ondo",B237="Osun",B237="Oyo"),"South West"
)</f>
        <v>North East</v>
      </c>
      <c r="H237">
        <f t="shared" si="3"/>
        <v>12</v>
      </c>
    </row>
    <row r="238" spans="1:8" x14ac:dyDescent="0.35">
      <c r="A238" s="5">
        <v>2021</v>
      </c>
      <c r="B238" s="5" t="s">
        <v>14</v>
      </c>
      <c r="C238">
        <v>4902</v>
      </c>
      <c r="D238" s="5">
        <v>4902</v>
      </c>
      <c r="E238" s="6">
        <v>62</v>
      </c>
      <c r="F238" s="7">
        <v>4840</v>
      </c>
      <c r="G238" t="str" cm="1">
        <f t="array" ref="G238">_xlfn.IFS(
    OR(B238="Benue",B238="Kogi",B238="Kwara",B238="Nasarawa",B238="Niger",B238="Plateau",B238="FCT"),"North Central",
    OR(B238="Adamawa",B238="Bauchi",B238="Borno",B238="Gombe",B238="Taraba",B238="Yobe"),"North East",
    OR(B238="Kaduna",B238="Kano",B238="Katsina",B238="Kebbi",B238="Sokoto",B238="Zamfara","Jigawa"),"North West",
    OR(B238="Abia",B238="Anambra",B238="Ebonyi",B238="Enugu",B238="Imo"),"South East",
    OR(B238="Akwa Ibom",B238="Bayelsa",B238="Cross River",B238="Delta",B238="Edo",B238="Rivers"),"South South",
    OR(B238="Ekiti",B238="Lagos",B238="Ogun",B238="Ondo",B238="Osun",B238="Oyo"),"South West"
)</f>
        <v>North East</v>
      </c>
      <c r="H238">
        <f t="shared" si="3"/>
        <v>4902</v>
      </c>
    </row>
    <row r="239" spans="1:8" x14ac:dyDescent="0.35">
      <c r="A239" s="5">
        <v>2021</v>
      </c>
      <c r="B239" s="5" t="s">
        <v>17</v>
      </c>
      <c r="C239">
        <v>6000</v>
      </c>
      <c r="D239" s="5">
        <v>6000</v>
      </c>
      <c r="E239" s="6">
        <v>1233</v>
      </c>
      <c r="F239" s="7">
        <v>4767</v>
      </c>
      <c r="G239" t="str" cm="1">
        <f t="array" ref="G239">_xlfn.IFS(
    OR(B239="Benue",B239="Kogi",B239="Kwara",B239="Nasarawa",B239="Niger",B239="Plateau",B239="FCT"),"North Central",
    OR(B239="Adamawa",B239="Bauchi",B239="Borno",B239="Gombe",B239="Taraba",B239="Yobe"),"North East",
    OR(B239="Kaduna",B239="Kano",B239="Katsina",B239="Kebbi",B239="Sokoto",B239="Zamfara","Jigawa"),"North West",
    OR(B239="Abia",B239="Anambra",B239="Ebonyi",B239="Enugu",B239="Imo"),"South East",
    OR(B239="Akwa Ibom",B239="Bayelsa",B239="Cross River",B239="Delta",B239="Edo",B239="Rivers"),"South South",
    OR(B239="Ekiti",B239="Lagos",B239="Ogun",B239="Ondo",B239="Osun",B239="Oyo"),"South West"
)</f>
        <v>North Central</v>
      </c>
      <c r="H239">
        <f t="shared" si="3"/>
        <v>6000</v>
      </c>
    </row>
    <row r="240" spans="1:8" x14ac:dyDescent="0.35">
      <c r="A240" s="5">
        <v>2021</v>
      </c>
      <c r="B240" s="5" t="s">
        <v>12</v>
      </c>
      <c r="C240">
        <v>5200</v>
      </c>
      <c r="D240" s="5">
        <v>5200</v>
      </c>
      <c r="E240" s="6">
        <v>5120</v>
      </c>
      <c r="F240" s="7">
        <v>80</v>
      </c>
      <c r="G240" t="str" cm="1">
        <f t="array" ref="G240">_xlfn.IFS(
    OR(B240="Benue",B240="Kogi",B240="Kwara",B240="Nasarawa",B240="Niger",B240="Plateau",B240="FCT"),"North Central",
    OR(B240="Adamawa",B240="Bauchi",B240="Borno",B240="Gombe",B240="Taraba",B240="Yobe"),"North East",
    OR(B240="Kaduna",B240="Kano",B240="Katsina",B240="Kebbi",B240="Sokoto",B240="Zamfara","Jigawa"),"North West",
    OR(B240="Abia",B240="Anambra",B240="Ebonyi",B240="Enugu",B240="Imo"),"South East",
    OR(B240="Akwa Ibom",B240="Bayelsa",B240="Cross River",B240="Delta",B240="Edo",B240="Rivers"),"South South",
    OR(B240="Ekiti",B240="Lagos",B240="Ogun",B240="Ondo",B240="Osun",B240="Oyo"),"South West"
)</f>
        <v>South South</v>
      </c>
      <c r="H240">
        <f t="shared" si="3"/>
        <v>5200</v>
      </c>
    </row>
    <row r="241" spans="1:8" x14ac:dyDescent="0.35">
      <c r="A241" s="5">
        <v>2021</v>
      </c>
      <c r="B241" s="5" t="s">
        <v>17</v>
      </c>
      <c r="C241">
        <v>500</v>
      </c>
      <c r="D241" s="5">
        <v>500</v>
      </c>
      <c r="E241" s="6">
        <v>106</v>
      </c>
      <c r="F241" s="7">
        <v>394</v>
      </c>
      <c r="G241" t="str" cm="1">
        <f t="array" ref="G241">_xlfn.IFS(
    OR(B241="Benue",B241="Kogi",B241="Kwara",B241="Nasarawa",B241="Niger",B241="Plateau",B241="FCT"),"North Central",
    OR(B241="Adamawa",B241="Bauchi",B241="Borno",B241="Gombe",B241="Taraba",B241="Yobe"),"North East",
    OR(B241="Kaduna",B241="Kano",B241="Katsina",B241="Kebbi",B241="Sokoto",B241="Zamfara","Jigawa"),"North West",
    OR(B241="Abia",B241="Anambra",B241="Ebonyi",B241="Enugu",B241="Imo"),"South East",
    OR(B241="Akwa Ibom",B241="Bayelsa",B241="Cross River",B241="Delta",B241="Edo",B241="Rivers"),"South South",
    OR(B241="Ekiti",B241="Lagos",B241="Ogun",B241="Ondo",B241="Osun",B241="Oyo"),"South West"
)</f>
        <v>North Central</v>
      </c>
      <c r="H241">
        <f t="shared" si="3"/>
        <v>500</v>
      </c>
    </row>
    <row r="242" spans="1:8" x14ac:dyDescent="0.35">
      <c r="A242" s="5">
        <v>2021</v>
      </c>
      <c r="B242" s="5" t="s">
        <v>6</v>
      </c>
      <c r="C242">
        <v>2750</v>
      </c>
      <c r="D242" s="5">
        <v>2750</v>
      </c>
      <c r="E242" s="6">
        <v>89</v>
      </c>
      <c r="F242" s="7">
        <v>2661</v>
      </c>
      <c r="G242" t="str" cm="1">
        <f t="array" ref="G242">_xlfn.IFS(
    OR(B242="Benue",B242="Kogi",B242="Kwara",B242="Nasarawa",B242="Niger",B242="Plateau",B242="FCT"),"North Central",
    OR(B242="Adamawa",B242="Bauchi",B242="Borno",B242="Gombe",B242="Taraba",B242="Yobe"),"North East",
    OR(B242="Kaduna",B242="Kano",B242="Katsina",B242="Kebbi",B242="Sokoto",B242="Zamfara","Jigawa"),"North West",
    OR(B242="Abia",B242="Anambra",B242="Ebonyi",B242="Enugu",B242="Imo"),"South East",
    OR(B242="Akwa Ibom",B242="Bayelsa",B242="Cross River",B242="Delta",B242="Edo",B242="Rivers"),"South South",
    OR(B242="Ekiti",B242="Lagos",B242="Ogun",B242="Ondo",B242="Osun",B242="Oyo"),"South West"
)</f>
        <v>North West</v>
      </c>
      <c r="H242">
        <f t="shared" si="3"/>
        <v>2750</v>
      </c>
    </row>
    <row r="243" spans="1:8" x14ac:dyDescent="0.35">
      <c r="A243" s="5">
        <v>2021</v>
      </c>
      <c r="B243" s="5" t="s">
        <v>6</v>
      </c>
      <c r="C243">
        <v>3000</v>
      </c>
      <c r="D243" s="5">
        <v>3000</v>
      </c>
      <c r="E243" s="6">
        <v>362</v>
      </c>
      <c r="F243" s="7">
        <v>2638</v>
      </c>
      <c r="G243" t="str" cm="1">
        <f t="array" ref="G243">_xlfn.IFS(
    OR(B243="Benue",B243="Kogi",B243="Kwara",B243="Nasarawa",B243="Niger",B243="Plateau",B243="FCT"),"North Central",
    OR(B243="Adamawa",B243="Bauchi",B243="Borno",B243="Gombe",B243="Taraba",B243="Yobe"),"North East",
    OR(B243="Kaduna",B243="Kano",B243="Katsina",B243="Kebbi",B243="Sokoto",B243="Zamfara","Jigawa"),"North West",
    OR(B243="Abia",B243="Anambra",B243="Ebonyi",B243="Enugu",B243="Imo"),"South East",
    OR(B243="Akwa Ibom",B243="Bayelsa",B243="Cross River",B243="Delta",B243="Edo",B243="Rivers"),"South South",
    OR(B243="Ekiti",B243="Lagos",B243="Ogun",B243="Ondo",B243="Osun",B243="Oyo"),"South West"
)</f>
        <v>North West</v>
      </c>
      <c r="H243">
        <f t="shared" si="3"/>
        <v>3000</v>
      </c>
    </row>
    <row r="244" spans="1:8" x14ac:dyDescent="0.35">
      <c r="A244" s="5">
        <v>2021</v>
      </c>
      <c r="B244" s="5" t="s">
        <v>14</v>
      </c>
      <c r="C244">
        <v>150</v>
      </c>
      <c r="D244" s="5">
        <v>150</v>
      </c>
      <c r="E244" s="6">
        <v>109</v>
      </c>
      <c r="F244" s="7">
        <v>41</v>
      </c>
      <c r="G244" t="str" cm="1">
        <f t="array" ref="G244">_xlfn.IFS(
    OR(B244="Benue",B244="Kogi",B244="Kwara",B244="Nasarawa",B244="Niger",B244="Plateau",B244="FCT"),"North Central",
    OR(B244="Adamawa",B244="Bauchi",B244="Borno",B244="Gombe",B244="Taraba",B244="Yobe"),"North East",
    OR(B244="Kaduna",B244="Kano",B244="Katsina",B244="Kebbi",B244="Sokoto",B244="Zamfara","Jigawa"),"North West",
    OR(B244="Abia",B244="Anambra",B244="Ebonyi",B244="Enugu",B244="Imo"),"South East",
    OR(B244="Akwa Ibom",B244="Bayelsa",B244="Cross River",B244="Delta",B244="Edo",B244="Rivers"),"South South",
    OR(B244="Ekiti",B244="Lagos",B244="Ogun",B244="Ondo",B244="Osun",B244="Oyo"),"South West"
)</f>
        <v>North East</v>
      </c>
      <c r="H244">
        <f t="shared" si="3"/>
        <v>150</v>
      </c>
    </row>
    <row r="245" spans="1:8" x14ac:dyDescent="0.35">
      <c r="A245" s="5">
        <v>2021</v>
      </c>
      <c r="B245" s="5" t="s">
        <v>6</v>
      </c>
      <c r="C245">
        <v>16000</v>
      </c>
      <c r="D245" s="5">
        <v>16000</v>
      </c>
      <c r="E245" s="6">
        <v>1235</v>
      </c>
      <c r="F245" s="7">
        <v>14765</v>
      </c>
      <c r="G245" t="str" cm="1">
        <f t="array" ref="G245">_xlfn.IFS(
    OR(B245="Benue",B245="Kogi",B245="Kwara",B245="Nasarawa",B245="Niger",B245="Plateau",B245="FCT"),"North Central",
    OR(B245="Adamawa",B245="Bauchi",B245="Borno",B245="Gombe",B245="Taraba",B245="Yobe"),"North East",
    OR(B245="Kaduna",B245="Kano",B245="Katsina",B245="Kebbi",B245="Sokoto",B245="Zamfara","Jigawa"),"North West",
    OR(B245="Abia",B245="Anambra",B245="Ebonyi",B245="Enugu",B245="Imo"),"South East",
    OR(B245="Akwa Ibom",B245="Bayelsa",B245="Cross River",B245="Delta",B245="Edo",B245="Rivers"),"South South",
    OR(B245="Ekiti",B245="Lagos",B245="Ogun",B245="Ondo",B245="Osun",B245="Oyo"),"South West"
)</f>
        <v>North West</v>
      </c>
      <c r="H245">
        <f t="shared" si="3"/>
        <v>16000</v>
      </c>
    </row>
    <row r="246" spans="1:8" x14ac:dyDescent="0.35">
      <c r="A246" s="5">
        <v>2021</v>
      </c>
      <c r="B246" s="5" t="s">
        <v>6</v>
      </c>
      <c r="C246">
        <v>200</v>
      </c>
      <c r="D246" s="5">
        <v>200</v>
      </c>
      <c r="E246" s="6">
        <v>117</v>
      </c>
      <c r="F246" s="7">
        <v>83</v>
      </c>
      <c r="G246" t="str" cm="1">
        <f t="array" ref="G246">_xlfn.IFS(
    OR(B246="Benue",B246="Kogi",B246="Kwara",B246="Nasarawa",B246="Niger",B246="Plateau",B246="FCT"),"North Central",
    OR(B246="Adamawa",B246="Bauchi",B246="Borno",B246="Gombe",B246="Taraba",B246="Yobe"),"North East",
    OR(B246="Kaduna",B246="Kano",B246="Katsina",B246="Kebbi",B246="Sokoto",B246="Zamfara","Jigawa"),"North West",
    OR(B246="Abia",B246="Anambra",B246="Ebonyi",B246="Enugu",B246="Imo"),"South East",
    OR(B246="Akwa Ibom",B246="Bayelsa",B246="Cross River",B246="Delta",B246="Edo",B246="Rivers"),"South South",
    OR(B246="Ekiti",B246="Lagos",B246="Ogun",B246="Ondo",B246="Osun",B246="Oyo"),"South West"
)</f>
        <v>North West</v>
      </c>
      <c r="H246">
        <f t="shared" si="3"/>
        <v>200</v>
      </c>
    </row>
    <row r="247" spans="1:8" x14ac:dyDescent="0.35">
      <c r="A247" s="5">
        <v>2021</v>
      </c>
      <c r="B247" s="5" t="s">
        <v>6</v>
      </c>
      <c r="C247">
        <v>1000</v>
      </c>
      <c r="D247" s="5">
        <v>1000</v>
      </c>
      <c r="E247" s="6">
        <v>350</v>
      </c>
      <c r="F247" s="7">
        <v>650</v>
      </c>
      <c r="G247" t="str" cm="1">
        <f t="array" ref="G247">_xlfn.IFS(
    OR(B247="Benue",B247="Kogi",B247="Kwara",B247="Nasarawa",B247="Niger",B247="Plateau",B247="FCT"),"North Central",
    OR(B247="Adamawa",B247="Bauchi",B247="Borno",B247="Gombe",B247="Taraba",B247="Yobe"),"North East",
    OR(B247="Kaduna",B247="Kano",B247="Katsina",B247="Kebbi",B247="Sokoto",B247="Zamfara","Jigawa"),"North West",
    OR(B247="Abia",B247="Anambra",B247="Ebonyi",B247="Enugu",B247="Imo"),"South East",
    OR(B247="Akwa Ibom",B247="Bayelsa",B247="Cross River",B247="Delta",B247="Edo",B247="Rivers"),"South South",
    OR(B247="Ekiti",B247="Lagos",B247="Ogun",B247="Ondo",B247="Osun",B247="Oyo"),"South West"
)</f>
        <v>North West</v>
      </c>
      <c r="H247">
        <f t="shared" si="3"/>
        <v>1000</v>
      </c>
    </row>
    <row r="248" spans="1:8" x14ac:dyDescent="0.35">
      <c r="A248" s="5">
        <v>2021</v>
      </c>
      <c r="B248" s="5" t="s">
        <v>12</v>
      </c>
      <c r="C248">
        <v>1</v>
      </c>
      <c r="D248" s="5">
        <v>1</v>
      </c>
      <c r="E248" s="6">
        <v>1</v>
      </c>
      <c r="G248" t="str" cm="1">
        <f t="array" ref="G248">_xlfn.IFS(
    OR(B248="Benue",B248="Kogi",B248="Kwara",B248="Nasarawa",B248="Niger",B248="Plateau",B248="FCT"),"North Central",
    OR(B248="Adamawa",B248="Bauchi",B248="Borno",B248="Gombe",B248="Taraba",B248="Yobe"),"North East",
    OR(B248="Kaduna",B248="Kano",B248="Katsina",B248="Kebbi",B248="Sokoto",B248="Zamfara","Jigawa"),"North West",
    OR(B248="Abia",B248="Anambra",B248="Ebonyi",B248="Enugu",B248="Imo"),"South East",
    OR(B248="Akwa Ibom",B248="Bayelsa",B248="Cross River",B248="Delta",B248="Edo",B248="Rivers"),"South South",
    OR(B248="Ekiti",B248="Lagos",B248="Ogun",B248="Ondo",B248="Osun",B248="Oyo"),"South West"
)</f>
        <v>South South</v>
      </c>
      <c r="H248">
        <f t="shared" si="3"/>
        <v>1</v>
      </c>
    </row>
    <row r="249" spans="1:8" x14ac:dyDescent="0.35">
      <c r="A249" s="5">
        <v>2021</v>
      </c>
      <c r="B249" s="5" t="s">
        <v>19</v>
      </c>
      <c r="C249">
        <v>3200</v>
      </c>
      <c r="D249" s="5">
        <v>3200</v>
      </c>
      <c r="E249" s="6">
        <v>2235</v>
      </c>
      <c r="F249" s="7">
        <v>965</v>
      </c>
      <c r="G249" t="str" cm="1">
        <f t="array" ref="G249">_xlfn.IFS(
    OR(B249="Benue",B249="Kogi",B249="Kwara",B249="Nasarawa",B249="Niger",B249="Plateau",B249="FCT"),"North Central",
    OR(B249="Adamawa",B249="Bauchi",B249="Borno",B249="Gombe",B249="Taraba",B249="Yobe"),"North East",
    OR(B249="Kaduna",B249="Kano",B249="Katsina",B249="Kebbi",B249="Sokoto",B249="Zamfara","Jigawa"),"North West",
    OR(B249="Abia",B249="Anambra",B249="Ebonyi",B249="Enugu",B249="Imo"),"South East",
    OR(B249="Akwa Ibom",B249="Bayelsa",B249="Cross River",B249="Delta",B249="Edo",B249="Rivers"),"South South",
    OR(B249="Ekiti",B249="Lagos",B249="Ogun",B249="Ondo",B249="Osun",B249="Oyo"),"South West"
)</f>
        <v>South South</v>
      </c>
      <c r="H249">
        <f t="shared" si="3"/>
        <v>3200</v>
      </c>
    </row>
    <row r="250" spans="1:8" x14ac:dyDescent="0.35">
      <c r="A250" s="5">
        <v>2021</v>
      </c>
      <c r="B250" s="5" t="s">
        <v>10</v>
      </c>
      <c r="C250">
        <v>106000</v>
      </c>
      <c r="D250" s="5">
        <v>106000</v>
      </c>
      <c r="E250" s="6">
        <v>23000</v>
      </c>
      <c r="F250" s="7">
        <v>83000</v>
      </c>
      <c r="G250" t="str" cm="1">
        <f t="array" ref="G250">_xlfn.IFS(
    OR(B250="Benue",B250="Kogi",B250="Kwara",B250="Nasarawa",B250="Niger",B250="Plateau",B250="FCT"),"North Central",
    OR(B250="Adamawa",B250="Bauchi",B250="Borno",B250="Gombe",B250="Taraba",B250="Yobe"),"North East",
    OR(B250="Kaduna",B250="Kano",B250="Katsina",B250="Kebbi",B250="Sokoto",B250="Zamfara","Jigawa"),"North West",
    OR(B250="Abia",B250="Anambra",B250="Ebonyi",B250="Enugu",B250="Imo"),"South East",
    OR(B250="Akwa Ibom",B250="Bayelsa",B250="Cross River",B250="Delta",B250="Edo",B250="Rivers"),"South South",
    OR(B250="Ekiti",B250="Lagos",B250="Ogun",B250="Ondo",B250="Osun",B250="Oyo"),"South West"
)</f>
        <v>South West</v>
      </c>
      <c r="H250">
        <f t="shared" si="3"/>
        <v>106000</v>
      </c>
    </row>
    <row r="251" spans="1:8" x14ac:dyDescent="0.35">
      <c r="A251" s="5">
        <v>2021</v>
      </c>
      <c r="B251" s="5" t="s">
        <v>12</v>
      </c>
      <c r="C251">
        <v>3000</v>
      </c>
      <c r="D251" s="5">
        <v>3000</v>
      </c>
      <c r="E251" s="6">
        <v>1538</v>
      </c>
      <c r="F251" s="7">
        <v>1462</v>
      </c>
      <c r="G251" t="str" cm="1">
        <f t="array" ref="G251">_xlfn.IFS(
    OR(B251="Benue",B251="Kogi",B251="Kwara",B251="Nasarawa",B251="Niger",B251="Plateau",B251="FCT"),"North Central",
    OR(B251="Adamawa",B251="Bauchi",B251="Borno",B251="Gombe",B251="Taraba",B251="Yobe"),"North East",
    OR(B251="Kaduna",B251="Kano",B251="Katsina",B251="Kebbi",B251="Sokoto",B251="Zamfara","Jigawa"),"North West",
    OR(B251="Abia",B251="Anambra",B251="Ebonyi",B251="Enugu",B251="Imo"),"South East",
    OR(B251="Akwa Ibom",B251="Bayelsa",B251="Cross River",B251="Delta",B251="Edo",B251="Rivers"),"South South",
    OR(B251="Ekiti",B251="Lagos",B251="Ogun",B251="Ondo",B251="Osun",B251="Oyo"),"South West"
)</f>
        <v>South South</v>
      </c>
      <c r="H251">
        <f t="shared" si="3"/>
        <v>3000</v>
      </c>
    </row>
    <row r="252" spans="1:8" x14ac:dyDescent="0.35">
      <c r="A252" s="5">
        <v>2021</v>
      </c>
      <c r="B252" s="5" t="s">
        <v>12</v>
      </c>
      <c r="C252">
        <v>5000</v>
      </c>
      <c r="D252" s="5">
        <v>5000</v>
      </c>
      <c r="E252" s="6">
        <v>2800</v>
      </c>
      <c r="F252" s="7">
        <v>2200</v>
      </c>
      <c r="G252" t="str" cm="1">
        <f t="array" ref="G252">_xlfn.IFS(
    OR(B252="Benue",B252="Kogi",B252="Kwara",B252="Nasarawa",B252="Niger",B252="Plateau",B252="FCT"),"North Central",
    OR(B252="Adamawa",B252="Bauchi",B252="Borno",B252="Gombe",B252="Taraba",B252="Yobe"),"North East",
    OR(B252="Kaduna",B252="Kano",B252="Katsina",B252="Kebbi",B252="Sokoto",B252="Zamfara","Jigawa"),"North West",
    OR(B252="Abia",B252="Anambra",B252="Ebonyi",B252="Enugu",B252="Imo"),"South East",
    OR(B252="Akwa Ibom",B252="Bayelsa",B252="Cross River",B252="Delta",B252="Edo",B252="Rivers"),"South South",
    OR(B252="Ekiti",B252="Lagos",B252="Ogun",B252="Ondo",B252="Osun",B252="Oyo"),"South West"
)</f>
        <v>South South</v>
      </c>
      <c r="H252">
        <f t="shared" si="3"/>
        <v>5000</v>
      </c>
    </row>
    <row r="253" spans="1:8" x14ac:dyDescent="0.35">
      <c r="A253" s="5">
        <v>2021</v>
      </c>
      <c r="B253" s="5" t="s">
        <v>12</v>
      </c>
      <c r="C253">
        <v>5000</v>
      </c>
      <c r="D253" s="5">
        <v>5000</v>
      </c>
      <c r="E253" s="6">
        <v>300</v>
      </c>
      <c r="F253" s="7">
        <v>4700</v>
      </c>
      <c r="G253" t="str" cm="1">
        <f t="array" ref="G253">_xlfn.IFS(
    OR(B253="Benue",B253="Kogi",B253="Kwara",B253="Nasarawa",B253="Niger",B253="Plateau",B253="FCT"),"North Central",
    OR(B253="Adamawa",B253="Bauchi",B253="Borno",B253="Gombe",B253="Taraba",B253="Yobe"),"North East",
    OR(B253="Kaduna",B253="Kano",B253="Katsina",B253="Kebbi",B253="Sokoto",B253="Zamfara","Jigawa"),"North West",
    OR(B253="Abia",B253="Anambra",B253="Ebonyi",B253="Enugu",B253="Imo"),"South East",
    OR(B253="Akwa Ibom",B253="Bayelsa",B253="Cross River",B253="Delta",B253="Edo",B253="Rivers"),"South South",
    OR(B253="Ekiti",B253="Lagos",B253="Ogun",B253="Ondo",B253="Osun",B253="Oyo"),"South West"
)</f>
        <v>South South</v>
      </c>
      <c r="H253">
        <f t="shared" si="3"/>
        <v>5000</v>
      </c>
    </row>
    <row r="254" spans="1:8" x14ac:dyDescent="0.35">
      <c r="A254" s="5">
        <v>2021</v>
      </c>
      <c r="B254" s="5" t="s">
        <v>20</v>
      </c>
      <c r="C254">
        <v>700</v>
      </c>
      <c r="D254" s="5">
        <v>700</v>
      </c>
      <c r="E254" s="6">
        <v>500</v>
      </c>
      <c r="F254" s="7">
        <v>200</v>
      </c>
      <c r="G254" t="str" cm="1">
        <f t="array" ref="G254">_xlfn.IFS(
    OR(B254="Benue",B254="Kogi",B254="Kwara",B254="Nasarawa",B254="Niger",B254="Plateau",B254="FCT"),"North Central",
    OR(B254="Adamawa",B254="Bauchi",B254="Borno",B254="Gombe",B254="Taraba",B254="Yobe"),"North East",
    OR(B254="Kaduna",B254="Kano",B254="Katsina",B254="Kebbi",B254="Sokoto",B254="Zamfara","Jigawa"),"North West",
    OR(B254="Abia",B254="Anambra",B254="Ebonyi",B254="Enugu",B254="Imo"),"South East",
    OR(B254="Akwa Ibom",B254="Bayelsa",B254="Cross River",B254="Delta",B254="Edo",B254="Rivers"),"South South",
    OR(B254="Ekiti",B254="Lagos",B254="Ogun",B254="Ondo",B254="Osun",B254="Oyo"),"South West"
)</f>
        <v>South West</v>
      </c>
      <c r="H254">
        <f t="shared" si="3"/>
        <v>700</v>
      </c>
    </row>
    <row r="255" spans="1:8" x14ac:dyDescent="0.35">
      <c r="A255" s="5">
        <v>2021</v>
      </c>
      <c r="B255" s="5" t="s">
        <v>20</v>
      </c>
      <c r="C255">
        <v>5000</v>
      </c>
      <c r="D255" s="5">
        <v>5000</v>
      </c>
      <c r="E255" s="6">
        <v>300</v>
      </c>
      <c r="F255" s="7">
        <v>4700</v>
      </c>
      <c r="G255" t="str" cm="1">
        <f t="array" ref="G255">_xlfn.IFS(
    OR(B255="Benue",B255="Kogi",B255="Kwara",B255="Nasarawa",B255="Niger",B255="Plateau",B255="FCT"),"North Central",
    OR(B255="Adamawa",B255="Bauchi",B255="Borno",B255="Gombe",B255="Taraba",B255="Yobe"),"North East",
    OR(B255="Kaduna",B255="Kano",B255="Katsina",B255="Kebbi",B255="Sokoto",B255="Zamfara","Jigawa"),"North West",
    OR(B255="Abia",B255="Anambra",B255="Ebonyi",B255="Enugu",B255="Imo"),"South East",
    OR(B255="Akwa Ibom",B255="Bayelsa",B255="Cross River",B255="Delta",B255="Edo",B255="Rivers"),"South South",
    OR(B255="Ekiti",B255="Lagos",B255="Ogun",B255="Ondo",B255="Osun",B255="Oyo"),"South West"
)</f>
        <v>South West</v>
      </c>
      <c r="H255">
        <f t="shared" si="3"/>
        <v>5000</v>
      </c>
    </row>
    <row r="256" spans="1:8" x14ac:dyDescent="0.35">
      <c r="A256" s="5">
        <v>2021</v>
      </c>
      <c r="B256" s="5" t="s">
        <v>35</v>
      </c>
      <c r="C256">
        <v>3800</v>
      </c>
      <c r="D256" s="5">
        <v>3800</v>
      </c>
      <c r="E256" s="6">
        <v>1000</v>
      </c>
      <c r="F256" s="7">
        <v>2800</v>
      </c>
      <c r="G256" t="str" cm="1">
        <f t="array" ref="G256">_xlfn.IFS(
    OR(B256="Benue",B256="Kogi",B256="Kwara",B256="Nasarawa",B256="Niger",B256="Plateau",B256="FCT"),"North Central",
    OR(B256="Adamawa",B256="Bauchi",B256="Borno",B256="Gombe",B256="Taraba",B256="Yobe"),"North East",
    OR(B256="Kaduna",B256="Kano",B256="Katsina",B256="Kebbi",B256="Sokoto",B256="Zamfara","Jigawa"),"North West",
    OR(B256="Abia",B256="Anambra",B256="Ebonyi",B256="Enugu",B256="Imo"),"South East",
    OR(B256="Akwa Ibom",B256="Bayelsa",B256="Cross River",B256="Delta",B256="Edo",B256="Rivers"),"South South",
    OR(B256="Ekiti",B256="Lagos",B256="Ogun",B256="Ondo",B256="Osun",B256="Oyo"),"South West"
)</f>
        <v>South East</v>
      </c>
      <c r="H256">
        <f t="shared" si="3"/>
        <v>3800</v>
      </c>
    </row>
    <row r="257" spans="1:8" x14ac:dyDescent="0.35">
      <c r="A257" s="5">
        <v>2021</v>
      </c>
      <c r="B257" s="5" t="s">
        <v>12</v>
      </c>
      <c r="C257">
        <v>6000</v>
      </c>
      <c r="D257" s="5">
        <v>6000</v>
      </c>
      <c r="E257" s="6">
        <v>2600</v>
      </c>
      <c r="F257" s="7">
        <v>3400</v>
      </c>
      <c r="G257" t="str" cm="1">
        <f t="array" ref="G257">_xlfn.IFS(
    OR(B257="Benue",B257="Kogi",B257="Kwara",B257="Nasarawa",B257="Niger",B257="Plateau",B257="FCT"),"North Central",
    OR(B257="Adamawa",B257="Bauchi",B257="Borno",B257="Gombe",B257="Taraba",B257="Yobe"),"North East",
    OR(B257="Kaduna",B257="Kano",B257="Katsina",B257="Kebbi",B257="Sokoto",B257="Zamfara","Jigawa"),"North West",
    OR(B257="Abia",B257="Anambra",B257="Ebonyi",B257="Enugu",B257="Imo"),"South East",
    OR(B257="Akwa Ibom",B257="Bayelsa",B257="Cross River",B257="Delta",B257="Edo",B257="Rivers"),"South South",
    OR(B257="Ekiti",B257="Lagos",B257="Ogun",B257="Ondo",B257="Osun",B257="Oyo"),"South West"
)</f>
        <v>South South</v>
      </c>
      <c r="H257">
        <f t="shared" si="3"/>
        <v>6000</v>
      </c>
    </row>
    <row r="258" spans="1:8" x14ac:dyDescent="0.35">
      <c r="A258" s="5">
        <v>2021</v>
      </c>
      <c r="B258" s="5" t="s">
        <v>12</v>
      </c>
      <c r="C258">
        <v>2900</v>
      </c>
      <c r="D258" s="5">
        <v>2900</v>
      </c>
      <c r="E258" s="6">
        <v>900</v>
      </c>
      <c r="F258" s="7">
        <v>2000</v>
      </c>
      <c r="G258" t="str" cm="1">
        <f t="array" ref="G258">_xlfn.IFS(
    OR(B258="Benue",B258="Kogi",B258="Kwara",B258="Nasarawa",B258="Niger",B258="Plateau",B258="FCT"),"North Central",
    OR(B258="Adamawa",B258="Bauchi",B258="Borno",B258="Gombe",B258="Taraba",B258="Yobe"),"North East",
    OR(B258="Kaduna",B258="Kano",B258="Katsina",B258="Kebbi",B258="Sokoto",B258="Zamfara","Jigawa"),"North West",
    OR(B258="Abia",B258="Anambra",B258="Ebonyi",B258="Enugu",B258="Imo"),"South East",
    OR(B258="Akwa Ibom",B258="Bayelsa",B258="Cross River",B258="Delta",B258="Edo",B258="Rivers"),"South South",
    OR(B258="Ekiti",B258="Lagos",B258="Ogun",B258="Ondo",B258="Osun",B258="Oyo"),"South West"
)</f>
        <v>South South</v>
      </c>
      <c r="H258">
        <f t="shared" si="3"/>
        <v>2900</v>
      </c>
    </row>
    <row r="259" spans="1:8" x14ac:dyDescent="0.35">
      <c r="A259" s="5">
        <v>2021</v>
      </c>
      <c r="B259" s="5" t="s">
        <v>12</v>
      </c>
      <c r="C259">
        <v>4700</v>
      </c>
      <c r="D259" s="5">
        <v>4700</v>
      </c>
      <c r="E259" s="6">
        <v>2700</v>
      </c>
      <c r="F259" s="7">
        <v>2000</v>
      </c>
      <c r="G259" t="str" cm="1">
        <f t="array" ref="G259">_xlfn.IFS(
    OR(B259="Benue",B259="Kogi",B259="Kwara",B259="Nasarawa",B259="Niger",B259="Plateau",B259="FCT"),"North Central",
    OR(B259="Adamawa",B259="Bauchi",B259="Borno",B259="Gombe",B259="Taraba",B259="Yobe"),"North East",
    OR(B259="Kaduna",B259="Kano",B259="Katsina",B259="Kebbi",B259="Sokoto",B259="Zamfara","Jigawa"),"North West",
    OR(B259="Abia",B259="Anambra",B259="Ebonyi",B259="Enugu",B259="Imo"),"South East",
    OR(B259="Akwa Ibom",B259="Bayelsa",B259="Cross River",B259="Delta",B259="Edo",B259="Rivers"),"South South",
    OR(B259="Ekiti",B259="Lagos",B259="Ogun",B259="Ondo",B259="Osun",B259="Oyo"),"South West"
)</f>
        <v>South South</v>
      </c>
      <c r="H259">
        <f t="shared" ref="H259:H322" si="4">E259+F259</f>
        <v>4700</v>
      </c>
    </row>
    <row r="260" spans="1:8" x14ac:dyDescent="0.35">
      <c r="A260" s="5">
        <v>2021</v>
      </c>
      <c r="B260" s="5" t="s">
        <v>12</v>
      </c>
      <c r="C260">
        <v>5500</v>
      </c>
      <c r="D260" s="5">
        <v>5500</v>
      </c>
      <c r="E260" s="6">
        <v>2500</v>
      </c>
      <c r="F260" s="7">
        <v>3000</v>
      </c>
      <c r="G260" t="str" cm="1">
        <f t="array" ref="G260">_xlfn.IFS(
    OR(B260="Benue",B260="Kogi",B260="Kwara",B260="Nasarawa",B260="Niger",B260="Plateau",B260="FCT"),"North Central",
    OR(B260="Adamawa",B260="Bauchi",B260="Borno",B260="Gombe",B260="Taraba",B260="Yobe"),"North East",
    OR(B260="Kaduna",B260="Kano",B260="Katsina",B260="Kebbi",B260="Sokoto",B260="Zamfara","Jigawa"),"North West",
    OR(B260="Abia",B260="Anambra",B260="Ebonyi",B260="Enugu",B260="Imo"),"South East",
    OR(B260="Akwa Ibom",B260="Bayelsa",B260="Cross River",B260="Delta",B260="Edo",B260="Rivers"),"South South",
    OR(B260="Ekiti",B260="Lagos",B260="Ogun",B260="Ondo",B260="Osun",B260="Oyo"),"South West"
)</f>
        <v>South South</v>
      </c>
      <c r="H260">
        <f t="shared" si="4"/>
        <v>5500</v>
      </c>
    </row>
    <row r="261" spans="1:8" x14ac:dyDescent="0.35">
      <c r="A261" s="5">
        <v>2021</v>
      </c>
      <c r="B261" s="5" t="s">
        <v>31</v>
      </c>
      <c r="C261">
        <v>3500</v>
      </c>
      <c r="D261" s="5">
        <v>3500</v>
      </c>
      <c r="E261" s="6">
        <v>1500</v>
      </c>
      <c r="F261" s="7">
        <v>2000</v>
      </c>
      <c r="G261" t="str" cm="1">
        <f t="array" ref="G261">_xlfn.IFS(
    OR(B261="Benue",B261="Kogi",B261="Kwara",B261="Nasarawa",B261="Niger",B261="Plateau",B261="FCT"),"North Central",
    OR(B261="Adamawa",B261="Bauchi",B261="Borno",B261="Gombe",B261="Taraba",B261="Yobe"),"North East",
    OR(B261="Kaduna",B261="Kano",B261="Katsina",B261="Kebbi",B261="Sokoto",B261="Zamfara","Jigawa"),"North West",
    OR(B261="Abia",B261="Anambra",B261="Ebonyi",B261="Enugu",B261="Imo"),"South East",
    OR(B261="Akwa Ibom",B261="Bayelsa",B261="Cross River",B261="Delta",B261="Edo",B261="Rivers"),"South South",
    OR(B261="Ekiti",B261="Lagos",B261="Ogun",B261="Ondo",B261="Osun",B261="Oyo"),"South West"
)</f>
        <v>South East</v>
      </c>
      <c r="H261">
        <f t="shared" si="4"/>
        <v>3500</v>
      </c>
    </row>
    <row r="262" spans="1:8" x14ac:dyDescent="0.35">
      <c r="A262" s="5">
        <v>2021</v>
      </c>
      <c r="B262" s="5" t="s">
        <v>31</v>
      </c>
      <c r="C262">
        <v>4000</v>
      </c>
      <c r="D262" s="5">
        <v>4000</v>
      </c>
      <c r="E262" s="6">
        <v>2800</v>
      </c>
      <c r="F262" s="7">
        <v>1200</v>
      </c>
      <c r="G262" t="str" cm="1">
        <f t="array" ref="G262">_xlfn.IFS(
    OR(B262="Benue",B262="Kogi",B262="Kwara",B262="Nasarawa",B262="Niger",B262="Plateau",B262="FCT"),"North Central",
    OR(B262="Adamawa",B262="Bauchi",B262="Borno",B262="Gombe",B262="Taraba",B262="Yobe"),"North East",
    OR(B262="Kaduna",B262="Kano",B262="Katsina",B262="Kebbi",B262="Sokoto",B262="Zamfara","Jigawa"),"North West",
    OR(B262="Abia",B262="Anambra",B262="Ebonyi",B262="Enugu",B262="Imo"),"South East",
    OR(B262="Akwa Ibom",B262="Bayelsa",B262="Cross River",B262="Delta",B262="Edo",B262="Rivers"),"South South",
    OR(B262="Ekiti",B262="Lagos",B262="Ogun",B262="Ondo",B262="Osun",B262="Oyo"),"South West"
)</f>
        <v>South East</v>
      </c>
      <c r="H262">
        <f t="shared" si="4"/>
        <v>4000</v>
      </c>
    </row>
    <row r="263" spans="1:8" x14ac:dyDescent="0.35">
      <c r="A263" s="5">
        <v>2021</v>
      </c>
      <c r="B263" s="5" t="s">
        <v>23</v>
      </c>
      <c r="C263">
        <v>3000</v>
      </c>
      <c r="D263" s="5">
        <v>3000</v>
      </c>
      <c r="E263" s="6">
        <v>500</v>
      </c>
      <c r="F263" s="7">
        <v>2500</v>
      </c>
      <c r="G263" t="str" cm="1">
        <f t="array" ref="G263">_xlfn.IFS(
    OR(B263="Benue",B263="Kogi",B263="Kwara",B263="Nasarawa",B263="Niger",B263="Plateau",B263="FCT"),"North Central",
    OR(B263="Adamawa",B263="Bauchi",B263="Borno",B263="Gombe",B263="Taraba",B263="Yobe"),"North East",
    OR(B263="Kaduna",B263="Kano",B263="Katsina",B263="Kebbi",B263="Sokoto",B263="Zamfara","Jigawa"),"North West",
    OR(B263="Abia",B263="Anambra",B263="Ebonyi",B263="Enugu",B263="Imo"),"South East",
    OR(B263="Akwa Ibom",B263="Bayelsa",B263="Cross River",B263="Delta",B263="Edo",B263="Rivers"),"South South",
    OR(B263="Ekiti",B263="Lagos",B263="Ogun",B263="Ondo",B263="Osun",B263="Oyo"),"South West"
)</f>
        <v>North East</v>
      </c>
      <c r="H263">
        <f t="shared" si="4"/>
        <v>3000</v>
      </c>
    </row>
    <row r="264" spans="1:8" x14ac:dyDescent="0.35">
      <c r="A264" s="5">
        <v>2021</v>
      </c>
      <c r="B264" s="5" t="s">
        <v>10</v>
      </c>
      <c r="C264">
        <v>2400</v>
      </c>
      <c r="D264" s="5">
        <v>2400</v>
      </c>
      <c r="E264" s="6">
        <v>900</v>
      </c>
      <c r="F264" s="7">
        <v>1500</v>
      </c>
      <c r="G264" t="str" cm="1">
        <f t="array" ref="G264">_xlfn.IFS(
    OR(B264="Benue",B264="Kogi",B264="Kwara",B264="Nasarawa",B264="Niger",B264="Plateau",B264="FCT"),"North Central",
    OR(B264="Adamawa",B264="Bauchi",B264="Borno",B264="Gombe",B264="Taraba",B264="Yobe"),"North East",
    OR(B264="Kaduna",B264="Kano",B264="Katsina",B264="Kebbi",B264="Sokoto",B264="Zamfara","Jigawa"),"North West",
    OR(B264="Abia",B264="Anambra",B264="Ebonyi",B264="Enugu",B264="Imo"),"South East",
    OR(B264="Akwa Ibom",B264="Bayelsa",B264="Cross River",B264="Delta",B264="Edo",B264="Rivers"),"South South",
    OR(B264="Ekiti",B264="Lagos",B264="Ogun",B264="Ondo",B264="Osun",B264="Oyo"),"South West"
)</f>
        <v>South West</v>
      </c>
      <c r="H264">
        <f t="shared" si="4"/>
        <v>2400</v>
      </c>
    </row>
    <row r="265" spans="1:8" x14ac:dyDescent="0.35">
      <c r="A265" s="5">
        <v>2021</v>
      </c>
      <c r="B265" s="5" t="s">
        <v>10</v>
      </c>
      <c r="C265">
        <v>1500</v>
      </c>
      <c r="D265" s="5">
        <v>1500</v>
      </c>
      <c r="E265" s="6">
        <v>600</v>
      </c>
      <c r="F265" s="7">
        <v>900</v>
      </c>
      <c r="G265" t="str" cm="1">
        <f t="array" ref="G265">_xlfn.IFS(
    OR(B265="Benue",B265="Kogi",B265="Kwara",B265="Nasarawa",B265="Niger",B265="Plateau",B265="FCT"),"North Central",
    OR(B265="Adamawa",B265="Bauchi",B265="Borno",B265="Gombe",B265="Taraba",B265="Yobe"),"North East",
    OR(B265="Kaduna",B265="Kano",B265="Katsina",B265="Kebbi",B265="Sokoto",B265="Zamfara","Jigawa"),"North West",
    OR(B265="Abia",B265="Anambra",B265="Ebonyi",B265="Enugu",B265="Imo"),"South East",
    OR(B265="Akwa Ibom",B265="Bayelsa",B265="Cross River",B265="Delta",B265="Edo",B265="Rivers"),"South South",
    OR(B265="Ekiti",B265="Lagos",B265="Ogun",B265="Ondo",B265="Osun",B265="Oyo"),"South West"
)</f>
        <v>South West</v>
      </c>
      <c r="H265">
        <f t="shared" si="4"/>
        <v>1500</v>
      </c>
    </row>
    <row r="266" spans="1:8" x14ac:dyDescent="0.35">
      <c r="A266" s="5">
        <v>2021</v>
      </c>
      <c r="B266" s="5" t="s">
        <v>10</v>
      </c>
      <c r="C266">
        <v>2800</v>
      </c>
      <c r="D266" s="5">
        <v>2800</v>
      </c>
      <c r="E266" s="6">
        <v>900</v>
      </c>
      <c r="F266" s="7">
        <v>1900</v>
      </c>
      <c r="G266" t="str" cm="1">
        <f t="array" ref="G266">_xlfn.IFS(
    OR(B266="Benue",B266="Kogi",B266="Kwara",B266="Nasarawa",B266="Niger",B266="Plateau",B266="FCT"),"North Central",
    OR(B266="Adamawa",B266="Bauchi",B266="Borno",B266="Gombe",B266="Taraba",B266="Yobe"),"North East",
    OR(B266="Kaduna",B266="Kano",B266="Katsina",B266="Kebbi",B266="Sokoto",B266="Zamfara","Jigawa"),"North West",
    OR(B266="Abia",B266="Anambra",B266="Ebonyi",B266="Enugu",B266="Imo"),"South East",
    OR(B266="Akwa Ibom",B266="Bayelsa",B266="Cross River",B266="Delta",B266="Edo",B266="Rivers"),"South South",
    OR(B266="Ekiti",B266="Lagos",B266="Ogun",B266="Ondo",B266="Osun",B266="Oyo"),"South West"
)</f>
        <v>South West</v>
      </c>
      <c r="H266">
        <f t="shared" si="4"/>
        <v>2800</v>
      </c>
    </row>
    <row r="267" spans="1:8" x14ac:dyDescent="0.35">
      <c r="A267" s="5">
        <v>2021</v>
      </c>
      <c r="B267" s="5" t="s">
        <v>10</v>
      </c>
      <c r="C267">
        <v>6000</v>
      </c>
      <c r="D267" s="5">
        <v>6000</v>
      </c>
      <c r="E267" s="6">
        <v>2500</v>
      </c>
      <c r="F267" s="7">
        <v>3500</v>
      </c>
      <c r="G267" t="str" cm="1">
        <f t="array" ref="G267">_xlfn.IFS(
    OR(B267="Benue",B267="Kogi",B267="Kwara",B267="Nasarawa",B267="Niger",B267="Plateau",B267="FCT"),"North Central",
    OR(B267="Adamawa",B267="Bauchi",B267="Borno",B267="Gombe",B267="Taraba",B267="Yobe"),"North East",
    OR(B267="Kaduna",B267="Kano",B267="Katsina",B267="Kebbi",B267="Sokoto",B267="Zamfara","Jigawa"),"North West",
    OR(B267="Abia",B267="Anambra",B267="Ebonyi",B267="Enugu",B267="Imo"),"South East",
    OR(B267="Akwa Ibom",B267="Bayelsa",B267="Cross River",B267="Delta",B267="Edo",B267="Rivers"),"South South",
    OR(B267="Ekiti",B267="Lagos",B267="Ogun",B267="Ondo",B267="Osun",B267="Oyo"),"South West"
)</f>
        <v>South West</v>
      </c>
      <c r="H267">
        <f t="shared" si="4"/>
        <v>6000</v>
      </c>
    </row>
    <row r="268" spans="1:8" x14ac:dyDescent="0.35">
      <c r="A268" s="5">
        <v>2021</v>
      </c>
      <c r="B268" s="5" t="s">
        <v>10</v>
      </c>
      <c r="C268">
        <v>5400</v>
      </c>
      <c r="D268" s="5">
        <v>5400</v>
      </c>
      <c r="E268" s="6">
        <v>1450</v>
      </c>
      <c r="F268" s="7">
        <v>3950</v>
      </c>
      <c r="G268" t="str" cm="1">
        <f t="array" ref="G268">_xlfn.IFS(
    OR(B268="Benue",B268="Kogi",B268="Kwara",B268="Nasarawa",B268="Niger",B268="Plateau",B268="FCT"),"North Central",
    OR(B268="Adamawa",B268="Bauchi",B268="Borno",B268="Gombe",B268="Taraba",B268="Yobe"),"North East",
    OR(B268="Kaduna",B268="Kano",B268="Katsina",B268="Kebbi",B268="Sokoto",B268="Zamfara","Jigawa"),"North West",
    OR(B268="Abia",B268="Anambra",B268="Ebonyi",B268="Enugu",B268="Imo"),"South East",
    OR(B268="Akwa Ibom",B268="Bayelsa",B268="Cross River",B268="Delta",B268="Edo",B268="Rivers"),"South South",
    OR(B268="Ekiti",B268="Lagos",B268="Ogun",B268="Ondo",B268="Osun",B268="Oyo"),"South West"
)</f>
        <v>South West</v>
      </c>
      <c r="H268">
        <f t="shared" si="4"/>
        <v>5400</v>
      </c>
    </row>
    <row r="269" spans="1:8" x14ac:dyDescent="0.35">
      <c r="A269" s="5">
        <v>2021</v>
      </c>
      <c r="B269" s="5" t="s">
        <v>6</v>
      </c>
      <c r="C269">
        <v>4900</v>
      </c>
      <c r="D269" s="5">
        <v>4900</v>
      </c>
      <c r="E269" s="6">
        <v>1100</v>
      </c>
      <c r="F269" s="7">
        <v>3800</v>
      </c>
      <c r="G269" t="str" cm="1">
        <f t="array" ref="G269">_xlfn.IFS(
    OR(B269="Benue",B269="Kogi",B269="Kwara",B269="Nasarawa",B269="Niger",B269="Plateau",B269="FCT"),"North Central",
    OR(B269="Adamawa",B269="Bauchi",B269="Borno",B269="Gombe",B269="Taraba",B269="Yobe"),"North East",
    OR(B269="Kaduna",B269="Kano",B269="Katsina",B269="Kebbi",B269="Sokoto",B269="Zamfara","Jigawa"),"North West",
    OR(B269="Abia",B269="Anambra",B269="Ebonyi",B269="Enugu",B269="Imo"),"South East",
    OR(B269="Akwa Ibom",B269="Bayelsa",B269="Cross River",B269="Delta",B269="Edo",B269="Rivers"),"South South",
    OR(B269="Ekiti",B269="Lagos",B269="Ogun",B269="Ondo",B269="Osun",B269="Oyo"),"South West"
)</f>
        <v>North West</v>
      </c>
      <c r="H269">
        <f t="shared" si="4"/>
        <v>4900</v>
      </c>
    </row>
    <row r="270" spans="1:8" x14ac:dyDescent="0.35">
      <c r="A270" s="5">
        <v>2021</v>
      </c>
      <c r="B270" s="5" t="s">
        <v>6</v>
      </c>
      <c r="C270">
        <v>4500</v>
      </c>
      <c r="D270" s="5">
        <v>4500</v>
      </c>
      <c r="E270" s="6">
        <v>700</v>
      </c>
      <c r="F270" s="7">
        <v>3800</v>
      </c>
      <c r="G270" t="str" cm="1">
        <f t="array" ref="G270">_xlfn.IFS(
    OR(B270="Benue",B270="Kogi",B270="Kwara",B270="Nasarawa",B270="Niger",B270="Plateau",B270="FCT"),"North Central",
    OR(B270="Adamawa",B270="Bauchi",B270="Borno",B270="Gombe",B270="Taraba",B270="Yobe"),"North East",
    OR(B270="Kaduna",B270="Kano",B270="Katsina",B270="Kebbi",B270="Sokoto",B270="Zamfara","Jigawa"),"North West",
    OR(B270="Abia",B270="Anambra",B270="Ebonyi",B270="Enugu",B270="Imo"),"South East",
    OR(B270="Akwa Ibom",B270="Bayelsa",B270="Cross River",B270="Delta",B270="Edo",B270="Rivers"),"South South",
    OR(B270="Ekiti",B270="Lagos",B270="Ogun",B270="Ondo",B270="Osun",B270="Oyo"),"South West"
)</f>
        <v>North West</v>
      </c>
      <c r="H270">
        <f t="shared" si="4"/>
        <v>4500</v>
      </c>
    </row>
    <row r="271" spans="1:8" x14ac:dyDescent="0.35">
      <c r="A271" s="5">
        <v>2021</v>
      </c>
      <c r="B271" s="5" t="s">
        <v>23</v>
      </c>
      <c r="C271">
        <v>5000</v>
      </c>
      <c r="D271" s="5">
        <v>5000</v>
      </c>
      <c r="E271" s="6">
        <v>2300</v>
      </c>
      <c r="F271" s="7">
        <v>2700</v>
      </c>
      <c r="G271" t="str" cm="1">
        <f t="array" ref="G271">_xlfn.IFS(
    OR(B271="Benue",B271="Kogi",B271="Kwara",B271="Nasarawa",B271="Niger",B271="Plateau",B271="FCT"),"North Central",
    OR(B271="Adamawa",B271="Bauchi",B271="Borno",B271="Gombe",B271="Taraba",B271="Yobe"),"North East",
    OR(B271="Kaduna",B271="Kano",B271="Katsina",B271="Kebbi",B271="Sokoto",B271="Zamfara","Jigawa"),"North West",
    OR(B271="Abia",B271="Anambra",B271="Ebonyi",B271="Enugu",B271="Imo"),"South East",
    OR(B271="Akwa Ibom",B271="Bayelsa",B271="Cross River",B271="Delta",B271="Edo",B271="Rivers"),"South South",
    OR(B271="Ekiti",B271="Lagos",B271="Ogun",B271="Ondo",B271="Osun",B271="Oyo"),"South West"
)</f>
        <v>North East</v>
      </c>
      <c r="H271">
        <f t="shared" si="4"/>
        <v>5000</v>
      </c>
    </row>
    <row r="272" spans="1:8" x14ac:dyDescent="0.35">
      <c r="A272" s="5">
        <v>2021</v>
      </c>
      <c r="B272" s="5" t="s">
        <v>17</v>
      </c>
      <c r="C272">
        <v>3300</v>
      </c>
      <c r="D272" s="5">
        <v>3300</v>
      </c>
      <c r="E272" s="6">
        <v>1300</v>
      </c>
      <c r="F272" s="7">
        <v>2000</v>
      </c>
      <c r="G272" t="str" cm="1">
        <f t="array" ref="G272">_xlfn.IFS(
    OR(B272="Benue",B272="Kogi",B272="Kwara",B272="Nasarawa",B272="Niger",B272="Plateau",B272="FCT"),"North Central",
    OR(B272="Adamawa",B272="Bauchi",B272="Borno",B272="Gombe",B272="Taraba",B272="Yobe"),"North East",
    OR(B272="Kaduna",B272="Kano",B272="Katsina",B272="Kebbi",B272="Sokoto",B272="Zamfara","Jigawa"),"North West",
    OR(B272="Abia",B272="Anambra",B272="Ebonyi",B272="Enugu",B272="Imo"),"South East",
    OR(B272="Akwa Ibom",B272="Bayelsa",B272="Cross River",B272="Delta",B272="Edo",B272="Rivers"),"South South",
    OR(B272="Ekiti",B272="Lagos",B272="Ogun",B272="Ondo",B272="Osun",B272="Oyo"),"South West"
)</f>
        <v>North Central</v>
      </c>
      <c r="H272">
        <f t="shared" si="4"/>
        <v>3300</v>
      </c>
    </row>
    <row r="273" spans="1:8" x14ac:dyDescent="0.35">
      <c r="A273" s="5">
        <v>2021</v>
      </c>
      <c r="B273" s="5" t="s">
        <v>17</v>
      </c>
      <c r="C273">
        <v>3500</v>
      </c>
      <c r="D273" s="5">
        <v>3500</v>
      </c>
      <c r="E273" s="6">
        <v>800</v>
      </c>
      <c r="F273" s="7">
        <v>2700</v>
      </c>
      <c r="G273" t="str" cm="1">
        <f t="array" ref="G273">_xlfn.IFS(
    OR(B273="Benue",B273="Kogi",B273="Kwara",B273="Nasarawa",B273="Niger",B273="Plateau",B273="FCT"),"North Central",
    OR(B273="Adamawa",B273="Bauchi",B273="Borno",B273="Gombe",B273="Taraba",B273="Yobe"),"North East",
    OR(B273="Kaduna",B273="Kano",B273="Katsina",B273="Kebbi",B273="Sokoto",B273="Zamfara","Jigawa"),"North West",
    OR(B273="Abia",B273="Anambra",B273="Ebonyi",B273="Enugu",B273="Imo"),"South East",
    OR(B273="Akwa Ibom",B273="Bayelsa",B273="Cross River",B273="Delta",B273="Edo",B273="Rivers"),"South South",
    OR(B273="Ekiti",B273="Lagos",B273="Ogun",B273="Ondo",B273="Osun",B273="Oyo"),"South West"
)</f>
        <v>North Central</v>
      </c>
      <c r="H273">
        <f t="shared" si="4"/>
        <v>3500</v>
      </c>
    </row>
    <row r="274" spans="1:8" x14ac:dyDescent="0.35">
      <c r="A274" s="5">
        <v>2021</v>
      </c>
      <c r="B274" s="5" t="s">
        <v>17</v>
      </c>
      <c r="C274">
        <v>15</v>
      </c>
      <c r="D274" s="5">
        <v>15</v>
      </c>
      <c r="E274" s="6">
        <v>12</v>
      </c>
      <c r="F274" s="7">
        <v>3</v>
      </c>
      <c r="G274" t="str" cm="1">
        <f t="array" ref="G274">_xlfn.IFS(
    OR(B274="Benue",B274="Kogi",B274="Kwara",B274="Nasarawa",B274="Niger",B274="Plateau",B274="FCT"),"North Central",
    OR(B274="Adamawa",B274="Bauchi",B274="Borno",B274="Gombe",B274="Taraba",B274="Yobe"),"North East",
    OR(B274="Kaduna",B274="Kano",B274="Katsina",B274="Kebbi",B274="Sokoto",B274="Zamfara","Jigawa"),"North West",
    OR(B274="Abia",B274="Anambra",B274="Ebonyi",B274="Enugu",B274="Imo"),"South East",
    OR(B274="Akwa Ibom",B274="Bayelsa",B274="Cross River",B274="Delta",B274="Edo",B274="Rivers"),"South South",
    OR(B274="Ekiti",B274="Lagos",B274="Ogun",B274="Ondo",B274="Osun",B274="Oyo"),"South West"
)</f>
        <v>North Central</v>
      </c>
      <c r="H274">
        <f t="shared" si="4"/>
        <v>15</v>
      </c>
    </row>
    <row r="275" spans="1:8" x14ac:dyDescent="0.35">
      <c r="A275" s="5">
        <v>2021</v>
      </c>
      <c r="B275" s="5" t="s">
        <v>10</v>
      </c>
      <c r="C275">
        <v>2500</v>
      </c>
      <c r="D275" s="5">
        <v>2500</v>
      </c>
      <c r="E275" s="6">
        <v>600</v>
      </c>
      <c r="F275" s="7">
        <v>1900</v>
      </c>
      <c r="G275" t="str" cm="1">
        <f t="array" ref="G275">_xlfn.IFS(
    OR(B275="Benue",B275="Kogi",B275="Kwara",B275="Nasarawa",B275="Niger",B275="Plateau",B275="FCT"),"North Central",
    OR(B275="Adamawa",B275="Bauchi",B275="Borno",B275="Gombe",B275="Taraba",B275="Yobe"),"North East",
    OR(B275="Kaduna",B275="Kano",B275="Katsina",B275="Kebbi",B275="Sokoto",B275="Zamfara","Jigawa"),"North West",
    OR(B275="Abia",B275="Anambra",B275="Ebonyi",B275="Enugu",B275="Imo"),"South East",
    OR(B275="Akwa Ibom",B275="Bayelsa",B275="Cross River",B275="Delta",B275="Edo",B275="Rivers"),"South South",
    OR(B275="Ekiti",B275="Lagos",B275="Ogun",B275="Ondo",B275="Osun",B275="Oyo"),"South West"
)</f>
        <v>South West</v>
      </c>
      <c r="H275">
        <f t="shared" si="4"/>
        <v>2500</v>
      </c>
    </row>
    <row r="276" spans="1:8" x14ac:dyDescent="0.35">
      <c r="A276" s="5">
        <v>2021</v>
      </c>
      <c r="B276" s="5" t="s">
        <v>20</v>
      </c>
      <c r="C276">
        <v>6000</v>
      </c>
      <c r="D276" s="5">
        <v>6000</v>
      </c>
      <c r="E276" s="6">
        <v>2330</v>
      </c>
      <c r="F276" s="7">
        <v>3670</v>
      </c>
      <c r="G276" t="str" cm="1">
        <f t="array" ref="G276">_xlfn.IFS(
    OR(B276="Benue",B276="Kogi",B276="Kwara",B276="Nasarawa",B276="Niger",B276="Plateau",B276="FCT"),"North Central",
    OR(B276="Adamawa",B276="Bauchi",B276="Borno",B276="Gombe",B276="Taraba",B276="Yobe"),"North East",
    OR(B276="Kaduna",B276="Kano",B276="Katsina",B276="Kebbi",B276="Sokoto",B276="Zamfara","Jigawa"),"North West",
    OR(B276="Abia",B276="Anambra",B276="Ebonyi",B276="Enugu",B276="Imo"),"South East",
    OR(B276="Akwa Ibom",B276="Bayelsa",B276="Cross River",B276="Delta",B276="Edo",B276="Rivers"),"South South",
    OR(B276="Ekiti",B276="Lagos",B276="Ogun",B276="Ondo",B276="Osun",B276="Oyo"),"South West"
)</f>
        <v>South West</v>
      </c>
      <c r="H276">
        <f t="shared" si="4"/>
        <v>6000</v>
      </c>
    </row>
    <row r="277" spans="1:8" x14ac:dyDescent="0.35">
      <c r="A277" s="5">
        <v>2021</v>
      </c>
      <c r="B277" s="5" t="s">
        <v>35</v>
      </c>
      <c r="C277">
        <v>20</v>
      </c>
      <c r="D277" s="5">
        <v>20</v>
      </c>
      <c r="E277" s="6">
        <v>5</v>
      </c>
      <c r="F277" s="7">
        <v>15</v>
      </c>
      <c r="G277" t="str" cm="1">
        <f t="array" ref="G277">_xlfn.IFS(
    OR(B277="Benue",B277="Kogi",B277="Kwara",B277="Nasarawa",B277="Niger",B277="Plateau",B277="FCT"),"North Central",
    OR(B277="Adamawa",B277="Bauchi",B277="Borno",B277="Gombe",B277="Taraba",B277="Yobe"),"North East",
    OR(B277="Kaduna",B277="Kano",B277="Katsina",B277="Kebbi",B277="Sokoto",B277="Zamfara","Jigawa"),"North West",
    OR(B277="Abia",B277="Anambra",B277="Ebonyi",B277="Enugu",B277="Imo"),"South East",
    OR(B277="Akwa Ibom",B277="Bayelsa",B277="Cross River",B277="Delta",B277="Edo",B277="Rivers"),"South South",
    OR(B277="Ekiti",B277="Lagos",B277="Ogun",B277="Ondo",B277="Osun",B277="Oyo"),"South West"
)</f>
        <v>South East</v>
      </c>
      <c r="H277">
        <f t="shared" si="4"/>
        <v>20</v>
      </c>
    </row>
    <row r="278" spans="1:8" x14ac:dyDescent="0.35">
      <c r="A278" s="5">
        <v>2021</v>
      </c>
      <c r="B278" s="5" t="s">
        <v>12</v>
      </c>
      <c r="C278">
        <v>5000</v>
      </c>
      <c r="D278" s="5">
        <v>5000</v>
      </c>
      <c r="E278" s="6">
        <v>1000</v>
      </c>
      <c r="F278" s="7">
        <v>4000</v>
      </c>
      <c r="G278" t="str" cm="1">
        <f t="array" ref="G278">_xlfn.IFS(
    OR(B278="Benue",B278="Kogi",B278="Kwara",B278="Nasarawa",B278="Niger",B278="Plateau",B278="FCT"),"North Central",
    OR(B278="Adamawa",B278="Bauchi",B278="Borno",B278="Gombe",B278="Taraba",B278="Yobe"),"North East",
    OR(B278="Kaduna",B278="Kano",B278="Katsina",B278="Kebbi",B278="Sokoto",B278="Zamfara","Jigawa"),"North West",
    OR(B278="Abia",B278="Anambra",B278="Ebonyi",B278="Enugu",B278="Imo"),"South East",
    OR(B278="Akwa Ibom",B278="Bayelsa",B278="Cross River",B278="Delta",B278="Edo",B278="Rivers"),"South South",
    OR(B278="Ekiti",B278="Lagos",B278="Ogun",B278="Ondo",B278="Osun",B278="Oyo"),"South West"
)</f>
        <v>South South</v>
      </c>
      <c r="H278">
        <f t="shared" si="4"/>
        <v>5000</v>
      </c>
    </row>
    <row r="279" spans="1:8" x14ac:dyDescent="0.35">
      <c r="A279" s="5">
        <v>2021</v>
      </c>
      <c r="B279" s="5" t="s">
        <v>7</v>
      </c>
      <c r="C279">
        <v>4000</v>
      </c>
      <c r="D279" s="5">
        <v>4000</v>
      </c>
      <c r="E279" s="6">
        <v>2300</v>
      </c>
      <c r="F279" s="7">
        <v>1700</v>
      </c>
      <c r="G279" t="str" cm="1">
        <f t="array" ref="G279">_xlfn.IFS(
    OR(B279="Benue",B279="Kogi",B279="Kwara",B279="Nasarawa",B279="Niger",B279="Plateau",B279="FCT"),"North Central",
    OR(B279="Adamawa",B279="Bauchi",B279="Borno",B279="Gombe",B279="Taraba",B279="Yobe"),"North East",
    OR(B279="Kaduna",B279="Kano",B279="Katsina",B279="Kebbi",B279="Sokoto",B279="Zamfara","Jigawa"),"North West",
    OR(B279="Abia",B279="Anambra",B279="Ebonyi",B279="Enugu",B279="Imo"),"South East",
    OR(B279="Akwa Ibom",B279="Bayelsa",B279="Cross River",B279="Delta",B279="Edo",B279="Rivers"),"South South",
    OR(B279="Ekiti",B279="Lagos",B279="Ogun",B279="Ondo",B279="Osun",B279="Oyo"),"South West"
)</f>
        <v>South South</v>
      </c>
      <c r="H279">
        <f t="shared" si="4"/>
        <v>4000</v>
      </c>
    </row>
    <row r="280" spans="1:8" x14ac:dyDescent="0.35">
      <c r="A280" s="5">
        <v>2021</v>
      </c>
      <c r="B280" s="5" t="s">
        <v>7</v>
      </c>
      <c r="C280">
        <v>70000</v>
      </c>
      <c r="D280" s="5">
        <v>70000</v>
      </c>
      <c r="E280" s="6">
        <v>60504</v>
      </c>
      <c r="F280" s="7">
        <v>9496</v>
      </c>
      <c r="G280" t="str" cm="1">
        <f t="array" ref="G280">_xlfn.IFS(
    OR(B280="Benue",B280="Kogi",B280="Kwara",B280="Nasarawa",B280="Niger",B280="Plateau",B280="FCT"),"North Central",
    OR(B280="Adamawa",B280="Bauchi",B280="Borno",B280="Gombe",B280="Taraba",B280="Yobe"),"North East",
    OR(B280="Kaduna",B280="Kano",B280="Katsina",B280="Kebbi",B280="Sokoto",B280="Zamfara","Jigawa"),"North West",
    OR(B280="Abia",B280="Anambra",B280="Ebonyi",B280="Enugu",B280="Imo"),"South East",
    OR(B280="Akwa Ibom",B280="Bayelsa",B280="Cross River",B280="Delta",B280="Edo",B280="Rivers"),"South South",
    OR(B280="Ekiti",B280="Lagos",B280="Ogun",B280="Ondo",B280="Osun",B280="Oyo"),"South West"
)</f>
        <v>South South</v>
      </c>
      <c r="H280">
        <f t="shared" si="4"/>
        <v>70000</v>
      </c>
    </row>
    <row r="281" spans="1:8" x14ac:dyDescent="0.35">
      <c r="A281" s="5">
        <v>2021</v>
      </c>
      <c r="B281" s="5" t="s">
        <v>19</v>
      </c>
      <c r="C281">
        <v>200</v>
      </c>
      <c r="D281" s="5">
        <v>200</v>
      </c>
      <c r="E281" s="6">
        <v>20</v>
      </c>
      <c r="F281" s="7">
        <v>180</v>
      </c>
      <c r="G281" t="str" cm="1">
        <f t="array" ref="G281">_xlfn.IFS(
    OR(B281="Benue",B281="Kogi",B281="Kwara",B281="Nasarawa",B281="Niger",B281="Plateau",B281="FCT"),"North Central",
    OR(B281="Adamawa",B281="Bauchi",B281="Borno",B281="Gombe",B281="Taraba",B281="Yobe"),"North East",
    OR(B281="Kaduna",B281="Kano",B281="Katsina",B281="Kebbi",B281="Sokoto",B281="Zamfara","Jigawa"),"North West",
    OR(B281="Abia",B281="Anambra",B281="Ebonyi",B281="Enugu",B281="Imo"),"South East",
    OR(B281="Akwa Ibom",B281="Bayelsa",B281="Cross River",B281="Delta",B281="Edo",B281="Rivers"),"South South",
    OR(B281="Ekiti",B281="Lagos",B281="Ogun",B281="Ondo",B281="Osun",B281="Oyo"),"South West"
)</f>
        <v>South South</v>
      </c>
      <c r="H281">
        <f t="shared" si="4"/>
        <v>200</v>
      </c>
    </row>
    <row r="282" spans="1:8" x14ac:dyDescent="0.35">
      <c r="A282" s="5">
        <v>2021</v>
      </c>
      <c r="B282" s="5" t="s">
        <v>19</v>
      </c>
      <c r="C282">
        <v>600</v>
      </c>
      <c r="D282" s="5">
        <v>600</v>
      </c>
      <c r="E282" s="6">
        <v>85</v>
      </c>
      <c r="F282" s="7">
        <v>515</v>
      </c>
      <c r="G282" t="str" cm="1">
        <f t="array" ref="G282">_xlfn.IFS(
    OR(B282="Benue",B282="Kogi",B282="Kwara",B282="Nasarawa",B282="Niger",B282="Plateau",B282="FCT"),"North Central",
    OR(B282="Adamawa",B282="Bauchi",B282="Borno",B282="Gombe",B282="Taraba",B282="Yobe"),"North East",
    OR(B282="Kaduna",B282="Kano",B282="Katsina",B282="Kebbi",B282="Sokoto",B282="Zamfara","Jigawa"),"North West",
    OR(B282="Abia",B282="Anambra",B282="Ebonyi",B282="Enugu",B282="Imo"),"South East",
    OR(B282="Akwa Ibom",B282="Bayelsa",B282="Cross River",B282="Delta",B282="Edo",B282="Rivers"),"South South",
    OR(B282="Ekiti",B282="Lagos",B282="Ogun",B282="Ondo",B282="Osun",B282="Oyo"),"South West"
)</f>
        <v>South South</v>
      </c>
      <c r="H282">
        <f t="shared" si="4"/>
        <v>600</v>
      </c>
    </row>
    <row r="283" spans="1:8" x14ac:dyDescent="0.35">
      <c r="A283" s="5">
        <v>2021</v>
      </c>
      <c r="B283" s="5" t="s">
        <v>29</v>
      </c>
      <c r="C283">
        <v>2500</v>
      </c>
      <c r="D283" s="5">
        <v>2500</v>
      </c>
      <c r="E283" s="6">
        <v>800</v>
      </c>
      <c r="F283" s="7">
        <v>1700</v>
      </c>
      <c r="G283" t="str" cm="1">
        <f t="array" ref="G283">_xlfn.IFS(
    OR(B283="Benue",B283="Kogi",B283="Kwara",B283="Nasarawa",B283="Niger",B283="Plateau",B283="FCT"),"North Central",
    OR(B283="Adamawa",B283="Bauchi",B283="Borno",B283="Gombe",B283="Taraba",B283="Yobe"),"North East",
    OR(B283="Kaduna",B283="Kano",B283="Katsina",B283="Kebbi",B283="Sokoto",B283="Zamfara","Jigawa"),"North West",
    OR(B283="Abia",B283="Anambra",B283="Ebonyi",B283="Enugu",B283="Imo"),"South East",
    OR(B283="Akwa Ibom",B283="Bayelsa",B283="Cross River",B283="Delta",B283="Edo",B283="Rivers"),"South South",
    OR(B283="Ekiti",B283="Lagos",B283="Ogun",B283="Ondo",B283="Osun",B283="Oyo"),"South West"
)</f>
        <v>South East</v>
      </c>
      <c r="H283">
        <f t="shared" si="4"/>
        <v>2500</v>
      </c>
    </row>
    <row r="284" spans="1:8" x14ac:dyDescent="0.35">
      <c r="A284" s="5">
        <v>2021</v>
      </c>
      <c r="B284" s="5" t="s">
        <v>7</v>
      </c>
      <c r="C284">
        <v>9500</v>
      </c>
      <c r="D284" s="5">
        <v>9500</v>
      </c>
      <c r="E284" s="6">
        <v>5451</v>
      </c>
      <c r="F284" s="7">
        <v>4049</v>
      </c>
      <c r="G284" t="str" cm="1">
        <f t="array" ref="G284">_xlfn.IFS(
    OR(B284="Benue",B284="Kogi",B284="Kwara",B284="Nasarawa",B284="Niger",B284="Plateau",B284="FCT"),"North Central",
    OR(B284="Adamawa",B284="Bauchi",B284="Borno",B284="Gombe",B284="Taraba",B284="Yobe"),"North East",
    OR(B284="Kaduna",B284="Kano",B284="Katsina",B284="Kebbi",B284="Sokoto",B284="Zamfara","Jigawa"),"North West",
    OR(B284="Abia",B284="Anambra",B284="Ebonyi",B284="Enugu",B284="Imo"),"South East",
    OR(B284="Akwa Ibom",B284="Bayelsa",B284="Cross River",B284="Delta",B284="Edo",B284="Rivers"),"South South",
    OR(B284="Ekiti",B284="Lagos",B284="Ogun",B284="Ondo",B284="Osun",B284="Oyo"),"South West"
)</f>
        <v>South South</v>
      </c>
      <c r="H284">
        <f t="shared" si="4"/>
        <v>9500</v>
      </c>
    </row>
    <row r="285" spans="1:8" x14ac:dyDescent="0.35">
      <c r="A285" s="5">
        <v>2021</v>
      </c>
      <c r="B285" s="5" t="s">
        <v>7</v>
      </c>
      <c r="C285">
        <v>3000</v>
      </c>
      <c r="D285" s="5">
        <v>3000</v>
      </c>
      <c r="E285" s="6">
        <v>510</v>
      </c>
      <c r="F285" s="7">
        <v>2490</v>
      </c>
      <c r="G285" t="str" cm="1">
        <f t="array" ref="G285">_xlfn.IFS(
    OR(B285="Benue",B285="Kogi",B285="Kwara",B285="Nasarawa",B285="Niger",B285="Plateau",B285="FCT"),"North Central",
    OR(B285="Adamawa",B285="Bauchi",B285="Borno",B285="Gombe",B285="Taraba",B285="Yobe"),"North East",
    OR(B285="Kaduna",B285="Kano",B285="Katsina",B285="Kebbi",B285="Sokoto",B285="Zamfara","Jigawa"),"North West",
    OR(B285="Abia",B285="Anambra",B285="Ebonyi",B285="Enugu",B285="Imo"),"South East",
    OR(B285="Akwa Ibom",B285="Bayelsa",B285="Cross River",B285="Delta",B285="Edo",B285="Rivers"),"South South",
    OR(B285="Ekiti",B285="Lagos",B285="Ogun",B285="Ondo",B285="Osun",B285="Oyo"),"South West"
)</f>
        <v>South South</v>
      </c>
      <c r="H285">
        <f t="shared" si="4"/>
        <v>3000</v>
      </c>
    </row>
    <row r="286" spans="1:8" x14ac:dyDescent="0.35">
      <c r="A286" s="5">
        <v>2021</v>
      </c>
      <c r="B286" s="5" t="s">
        <v>7</v>
      </c>
      <c r="C286">
        <v>90000</v>
      </c>
      <c r="D286" s="5">
        <v>90000</v>
      </c>
      <c r="E286" s="6">
        <v>2000</v>
      </c>
      <c r="F286" s="7">
        <v>88000</v>
      </c>
      <c r="G286" t="str" cm="1">
        <f t="array" ref="G286">_xlfn.IFS(
    OR(B286="Benue",B286="Kogi",B286="Kwara",B286="Nasarawa",B286="Niger",B286="Plateau",B286="FCT"),"North Central",
    OR(B286="Adamawa",B286="Bauchi",B286="Borno",B286="Gombe",B286="Taraba",B286="Yobe"),"North East",
    OR(B286="Kaduna",B286="Kano",B286="Katsina",B286="Kebbi",B286="Sokoto",B286="Zamfara","Jigawa"),"North West",
    OR(B286="Abia",B286="Anambra",B286="Ebonyi",B286="Enugu",B286="Imo"),"South East",
    OR(B286="Akwa Ibom",B286="Bayelsa",B286="Cross River",B286="Delta",B286="Edo",B286="Rivers"),"South South",
    OR(B286="Ekiti",B286="Lagos",B286="Ogun",B286="Ondo",B286="Osun",B286="Oyo"),"South West"
)</f>
        <v>South South</v>
      </c>
      <c r="H286">
        <f t="shared" si="4"/>
        <v>90000</v>
      </c>
    </row>
    <row r="287" spans="1:8" x14ac:dyDescent="0.35">
      <c r="A287" s="5">
        <v>2021</v>
      </c>
      <c r="B287" s="5" t="s">
        <v>7</v>
      </c>
      <c r="C287">
        <v>33000</v>
      </c>
      <c r="D287" s="5">
        <v>33000</v>
      </c>
      <c r="E287" s="6">
        <v>3000</v>
      </c>
      <c r="F287" s="7">
        <v>30000</v>
      </c>
      <c r="G287" t="str" cm="1">
        <f t="array" ref="G287">_xlfn.IFS(
    OR(B287="Benue",B287="Kogi",B287="Kwara",B287="Nasarawa",B287="Niger",B287="Plateau",B287="FCT"),"North Central",
    OR(B287="Adamawa",B287="Bauchi",B287="Borno",B287="Gombe",B287="Taraba",B287="Yobe"),"North East",
    OR(B287="Kaduna",B287="Kano",B287="Katsina",B287="Kebbi",B287="Sokoto",B287="Zamfara","Jigawa"),"North West",
    OR(B287="Abia",B287="Anambra",B287="Ebonyi",B287="Enugu",B287="Imo"),"South East",
    OR(B287="Akwa Ibom",B287="Bayelsa",B287="Cross River",B287="Delta",B287="Edo",B287="Rivers"),"South South",
    OR(B287="Ekiti",B287="Lagos",B287="Ogun",B287="Ondo",B287="Osun",B287="Oyo"),"South West"
)</f>
        <v>South South</v>
      </c>
      <c r="H287">
        <f t="shared" si="4"/>
        <v>33000</v>
      </c>
    </row>
    <row r="288" spans="1:8" x14ac:dyDescent="0.35">
      <c r="A288" s="5">
        <v>2021</v>
      </c>
      <c r="B288" s="5" t="s">
        <v>7</v>
      </c>
      <c r="C288">
        <v>450</v>
      </c>
      <c r="D288" s="5">
        <v>450</v>
      </c>
      <c r="E288" s="6">
        <v>30</v>
      </c>
      <c r="F288" s="7">
        <v>420</v>
      </c>
      <c r="G288" t="str" cm="1">
        <f t="array" ref="G288">_xlfn.IFS(
    OR(B288="Benue",B288="Kogi",B288="Kwara",B288="Nasarawa",B288="Niger",B288="Plateau",B288="FCT"),"North Central",
    OR(B288="Adamawa",B288="Bauchi",B288="Borno",B288="Gombe",B288="Taraba",B288="Yobe"),"North East",
    OR(B288="Kaduna",B288="Kano",B288="Katsina",B288="Kebbi",B288="Sokoto",B288="Zamfara","Jigawa"),"North West",
    OR(B288="Abia",B288="Anambra",B288="Ebonyi",B288="Enugu",B288="Imo"),"South East",
    OR(B288="Akwa Ibom",B288="Bayelsa",B288="Cross River",B288="Delta",B288="Edo",B288="Rivers"),"South South",
    OR(B288="Ekiti",B288="Lagos",B288="Ogun",B288="Ondo",B288="Osun",B288="Oyo"),"South West"
)</f>
        <v>South South</v>
      </c>
      <c r="H288">
        <f t="shared" si="4"/>
        <v>450</v>
      </c>
    </row>
    <row r="289" spans="1:8" x14ac:dyDescent="0.35">
      <c r="A289" s="5">
        <v>2021</v>
      </c>
      <c r="B289" s="5" t="s">
        <v>6</v>
      </c>
      <c r="C289">
        <v>600</v>
      </c>
      <c r="D289" s="5">
        <v>600</v>
      </c>
      <c r="E289" s="6">
        <v>520</v>
      </c>
      <c r="F289" s="7">
        <v>80</v>
      </c>
      <c r="G289" t="str" cm="1">
        <f t="array" ref="G289">_xlfn.IFS(
    OR(B289="Benue",B289="Kogi",B289="Kwara",B289="Nasarawa",B289="Niger",B289="Plateau",B289="FCT"),"North Central",
    OR(B289="Adamawa",B289="Bauchi",B289="Borno",B289="Gombe",B289="Taraba",B289="Yobe"),"North East",
    OR(B289="Kaduna",B289="Kano",B289="Katsina",B289="Kebbi",B289="Sokoto",B289="Zamfara","Jigawa"),"North West",
    OR(B289="Abia",B289="Anambra",B289="Ebonyi",B289="Enugu",B289="Imo"),"South East",
    OR(B289="Akwa Ibom",B289="Bayelsa",B289="Cross River",B289="Delta",B289="Edo",B289="Rivers"),"South South",
    OR(B289="Ekiti",B289="Lagos",B289="Ogun",B289="Ondo",B289="Osun",B289="Oyo"),"South West"
)</f>
        <v>North West</v>
      </c>
      <c r="H289">
        <f t="shared" si="4"/>
        <v>600</v>
      </c>
    </row>
    <row r="290" spans="1:8" x14ac:dyDescent="0.35">
      <c r="A290" s="5">
        <v>2021</v>
      </c>
      <c r="B290" s="5" t="s">
        <v>19</v>
      </c>
      <c r="C290">
        <v>6200</v>
      </c>
      <c r="D290" s="5">
        <v>6200</v>
      </c>
      <c r="E290" s="6">
        <v>1500</v>
      </c>
      <c r="F290" s="7">
        <v>4700</v>
      </c>
      <c r="G290" t="str" cm="1">
        <f t="array" ref="G290">_xlfn.IFS(
    OR(B290="Benue",B290="Kogi",B290="Kwara",B290="Nasarawa",B290="Niger",B290="Plateau",B290="FCT"),"North Central",
    OR(B290="Adamawa",B290="Bauchi",B290="Borno",B290="Gombe",B290="Taraba",B290="Yobe"),"North East",
    OR(B290="Kaduna",B290="Kano",B290="Katsina",B290="Kebbi",B290="Sokoto",B290="Zamfara","Jigawa"),"North West",
    OR(B290="Abia",B290="Anambra",B290="Ebonyi",B290="Enugu",B290="Imo"),"South East",
    OR(B290="Akwa Ibom",B290="Bayelsa",B290="Cross River",B290="Delta",B290="Edo",B290="Rivers"),"South South",
    OR(B290="Ekiti",B290="Lagos",B290="Ogun",B290="Ondo",B290="Osun",B290="Oyo"),"South West"
)</f>
        <v>South South</v>
      </c>
      <c r="H290">
        <f t="shared" si="4"/>
        <v>6200</v>
      </c>
    </row>
    <row r="291" spans="1:8" x14ac:dyDescent="0.35">
      <c r="A291" s="5">
        <v>2021</v>
      </c>
      <c r="B291" s="5" t="s">
        <v>19</v>
      </c>
      <c r="C291">
        <v>1100</v>
      </c>
      <c r="D291" s="5">
        <v>1100</v>
      </c>
      <c r="E291" s="6">
        <v>400</v>
      </c>
      <c r="F291" s="7">
        <v>700</v>
      </c>
      <c r="G291" t="str" cm="1">
        <f t="array" ref="G291">_xlfn.IFS(
    OR(B291="Benue",B291="Kogi",B291="Kwara",B291="Nasarawa",B291="Niger",B291="Plateau",B291="FCT"),"North Central",
    OR(B291="Adamawa",B291="Bauchi",B291="Borno",B291="Gombe",B291="Taraba",B291="Yobe"),"North East",
    OR(B291="Kaduna",B291="Kano",B291="Katsina",B291="Kebbi",B291="Sokoto",B291="Zamfara","Jigawa"),"North West",
    OR(B291="Abia",B291="Anambra",B291="Ebonyi",B291="Enugu",B291="Imo"),"South East",
    OR(B291="Akwa Ibom",B291="Bayelsa",B291="Cross River",B291="Delta",B291="Edo",B291="Rivers"),"South South",
    OR(B291="Ekiti",B291="Lagos",B291="Ogun",B291="Ondo",B291="Osun",B291="Oyo"),"South West"
)</f>
        <v>South South</v>
      </c>
      <c r="H291">
        <f t="shared" si="4"/>
        <v>1100</v>
      </c>
    </row>
    <row r="292" spans="1:8" x14ac:dyDescent="0.35">
      <c r="A292" s="5">
        <v>2021</v>
      </c>
      <c r="B292" s="5" t="s">
        <v>10</v>
      </c>
      <c r="C292">
        <v>2000</v>
      </c>
      <c r="D292" s="5">
        <v>2000</v>
      </c>
      <c r="E292" s="6">
        <v>160</v>
      </c>
      <c r="F292" s="7">
        <v>1840</v>
      </c>
      <c r="G292" t="str" cm="1">
        <f t="array" ref="G292">_xlfn.IFS(
    OR(B292="Benue",B292="Kogi",B292="Kwara",B292="Nasarawa",B292="Niger",B292="Plateau",B292="FCT"),"North Central",
    OR(B292="Adamawa",B292="Bauchi",B292="Borno",B292="Gombe",B292="Taraba",B292="Yobe"),"North East",
    OR(B292="Kaduna",B292="Kano",B292="Katsina",B292="Kebbi",B292="Sokoto",B292="Zamfara","Jigawa"),"North West",
    OR(B292="Abia",B292="Anambra",B292="Ebonyi",B292="Enugu",B292="Imo"),"South East",
    OR(B292="Akwa Ibom",B292="Bayelsa",B292="Cross River",B292="Delta",B292="Edo",B292="Rivers"),"South South",
    OR(B292="Ekiti",B292="Lagos",B292="Ogun",B292="Ondo",B292="Osun",B292="Oyo"),"South West"
)</f>
        <v>South West</v>
      </c>
      <c r="H292">
        <f t="shared" si="4"/>
        <v>2000</v>
      </c>
    </row>
    <row r="293" spans="1:8" x14ac:dyDescent="0.35">
      <c r="A293" s="5">
        <v>2021</v>
      </c>
      <c r="B293" s="5" t="s">
        <v>10</v>
      </c>
      <c r="C293">
        <v>3664</v>
      </c>
      <c r="D293" s="5">
        <v>3664</v>
      </c>
      <c r="E293" s="6">
        <v>894</v>
      </c>
      <c r="F293" s="7">
        <v>2770</v>
      </c>
      <c r="G293" t="str" cm="1">
        <f t="array" ref="G293">_xlfn.IFS(
    OR(B293="Benue",B293="Kogi",B293="Kwara",B293="Nasarawa",B293="Niger",B293="Plateau",B293="FCT"),"North Central",
    OR(B293="Adamawa",B293="Bauchi",B293="Borno",B293="Gombe",B293="Taraba",B293="Yobe"),"North East",
    OR(B293="Kaduna",B293="Kano",B293="Katsina",B293="Kebbi",B293="Sokoto",B293="Zamfara","Jigawa"),"North West",
    OR(B293="Abia",B293="Anambra",B293="Ebonyi",B293="Enugu",B293="Imo"),"South East",
    OR(B293="Akwa Ibom",B293="Bayelsa",B293="Cross River",B293="Delta",B293="Edo",B293="Rivers"),"South South",
    OR(B293="Ekiti",B293="Lagos",B293="Ogun",B293="Ondo",B293="Osun",B293="Oyo"),"South West"
)</f>
        <v>South West</v>
      </c>
      <c r="H293">
        <f t="shared" si="4"/>
        <v>3664</v>
      </c>
    </row>
    <row r="294" spans="1:8" x14ac:dyDescent="0.35">
      <c r="A294" s="5">
        <v>2021</v>
      </c>
      <c r="B294" s="5" t="s">
        <v>10</v>
      </c>
      <c r="C294">
        <v>800</v>
      </c>
      <c r="D294" s="5">
        <v>800</v>
      </c>
      <c r="E294" s="6">
        <v>350</v>
      </c>
      <c r="F294" s="7">
        <v>450</v>
      </c>
      <c r="G294" t="str" cm="1">
        <f t="array" ref="G294">_xlfn.IFS(
    OR(B294="Benue",B294="Kogi",B294="Kwara",B294="Nasarawa",B294="Niger",B294="Plateau",B294="FCT"),"North Central",
    OR(B294="Adamawa",B294="Bauchi",B294="Borno",B294="Gombe",B294="Taraba",B294="Yobe"),"North East",
    OR(B294="Kaduna",B294="Kano",B294="Katsina",B294="Kebbi",B294="Sokoto",B294="Zamfara","Jigawa"),"North West",
    OR(B294="Abia",B294="Anambra",B294="Ebonyi",B294="Enugu",B294="Imo"),"South East",
    OR(B294="Akwa Ibom",B294="Bayelsa",B294="Cross River",B294="Delta",B294="Edo",B294="Rivers"),"South South",
    OR(B294="Ekiti",B294="Lagos",B294="Ogun",B294="Ondo",B294="Osun",B294="Oyo"),"South West"
)</f>
        <v>South West</v>
      </c>
      <c r="H294">
        <f t="shared" si="4"/>
        <v>800</v>
      </c>
    </row>
    <row r="295" spans="1:8" x14ac:dyDescent="0.35">
      <c r="A295" s="5">
        <v>2021</v>
      </c>
      <c r="B295" s="5" t="s">
        <v>17</v>
      </c>
      <c r="C295">
        <v>800</v>
      </c>
      <c r="D295" s="5">
        <v>800</v>
      </c>
      <c r="E295" s="6">
        <v>369</v>
      </c>
      <c r="F295" s="7">
        <v>431</v>
      </c>
      <c r="G295" t="str" cm="1">
        <f t="array" ref="G295">_xlfn.IFS(
    OR(B295="Benue",B295="Kogi",B295="Kwara",B295="Nasarawa",B295="Niger",B295="Plateau",B295="FCT"),"North Central",
    OR(B295="Adamawa",B295="Bauchi",B295="Borno",B295="Gombe",B295="Taraba",B295="Yobe"),"North East",
    OR(B295="Kaduna",B295="Kano",B295="Katsina",B295="Kebbi",B295="Sokoto",B295="Zamfara","Jigawa"),"North West",
    OR(B295="Abia",B295="Anambra",B295="Ebonyi",B295="Enugu",B295="Imo"),"South East",
    OR(B295="Akwa Ibom",B295="Bayelsa",B295="Cross River",B295="Delta",B295="Edo",B295="Rivers"),"South South",
    OR(B295="Ekiti",B295="Lagos",B295="Ogun",B295="Ondo",B295="Osun",B295="Oyo"),"South West"
)</f>
        <v>North Central</v>
      </c>
      <c r="H295">
        <f t="shared" si="4"/>
        <v>800</v>
      </c>
    </row>
    <row r="296" spans="1:8" x14ac:dyDescent="0.35">
      <c r="A296" s="5">
        <v>2021</v>
      </c>
      <c r="B296" s="5" t="s">
        <v>7</v>
      </c>
      <c r="C296">
        <v>3000</v>
      </c>
      <c r="D296" s="5">
        <v>3000</v>
      </c>
      <c r="E296" s="6">
        <v>800</v>
      </c>
      <c r="F296" s="7">
        <v>2200</v>
      </c>
      <c r="G296" t="str" cm="1">
        <f t="array" ref="G296">_xlfn.IFS(
    OR(B296="Benue",B296="Kogi",B296="Kwara",B296="Nasarawa",B296="Niger",B296="Plateau",B296="FCT"),"North Central",
    OR(B296="Adamawa",B296="Bauchi",B296="Borno",B296="Gombe",B296="Taraba",B296="Yobe"),"North East",
    OR(B296="Kaduna",B296="Kano",B296="Katsina",B296="Kebbi",B296="Sokoto",B296="Zamfara","Jigawa"),"North West",
    OR(B296="Abia",B296="Anambra",B296="Ebonyi",B296="Enugu",B296="Imo"),"South East",
    OR(B296="Akwa Ibom",B296="Bayelsa",B296="Cross River",B296="Delta",B296="Edo",B296="Rivers"),"South South",
    OR(B296="Ekiti",B296="Lagos",B296="Ogun",B296="Ondo",B296="Osun",B296="Oyo"),"South West"
)</f>
        <v>South South</v>
      </c>
      <c r="H296">
        <f t="shared" si="4"/>
        <v>3000</v>
      </c>
    </row>
    <row r="297" spans="1:8" x14ac:dyDescent="0.35">
      <c r="A297" s="5">
        <v>2021</v>
      </c>
      <c r="B297" s="5" t="s">
        <v>7</v>
      </c>
      <c r="C297">
        <v>25000</v>
      </c>
      <c r="D297" s="5">
        <v>25000</v>
      </c>
      <c r="E297" s="6">
        <v>22200</v>
      </c>
      <c r="F297" s="7">
        <v>2800</v>
      </c>
      <c r="G297" t="str" cm="1">
        <f t="array" ref="G297">_xlfn.IFS(
    OR(B297="Benue",B297="Kogi",B297="Kwara",B297="Nasarawa",B297="Niger",B297="Plateau",B297="FCT"),"North Central",
    OR(B297="Adamawa",B297="Bauchi",B297="Borno",B297="Gombe",B297="Taraba",B297="Yobe"),"North East",
    OR(B297="Kaduna",B297="Kano",B297="Katsina",B297="Kebbi",B297="Sokoto",B297="Zamfara","Jigawa"),"North West",
    OR(B297="Abia",B297="Anambra",B297="Ebonyi",B297="Enugu",B297="Imo"),"South East",
    OR(B297="Akwa Ibom",B297="Bayelsa",B297="Cross River",B297="Delta",B297="Edo",B297="Rivers"),"South South",
    OR(B297="Ekiti",B297="Lagos",B297="Ogun",B297="Ondo",B297="Osun",B297="Oyo"),"South West"
)</f>
        <v>South South</v>
      </c>
      <c r="H297">
        <f t="shared" si="4"/>
        <v>25000</v>
      </c>
    </row>
    <row r="298" spans="1:8" ht="29" x14ac:dyDescent="0.35">
      <c r="A298" s="5">
        <v>2021</v>
      </c>
      <c r="B298" s="5" t="s">
        <v>36</v>
      </c>
      <c r="C298">
        <v>4964</v>
      </c>
      <c r="D298" s="5">
        <v>4964</v>
      </c>
      <c r="E298" s="6">
        <v>3964</v>
      </c>
      <c r="F298" s="7">
        <v>1000</v>
      </c>
      <c r="G298" t="str" cm="1">
        <f t="array" ref="G298">_xlfn.IFS(
    OR(B298="Benue",B298="Kogi",B298="Kwara",B298="Nasarawa",B298="Niger",B298="Plateau",B298="FCT"),"North Central",
    OR(B298="Adamawa",B298="Bauchi",B298="Borno",B298="Gombe",B298="Taraba",B298="Yobe"),"North East",
    OR(B298="Kaduna",B298="Kano",B298="Katsina",B298="Kebbi",B298="Sokoto",B298="Zamfara","Jigawa"),"North West",
    OR(B298="Abia",B298="Anambra",B298="Ebonyi",B298="Enugu",B298="Imo"),"South East",
    OR(B298="Akwa Ibom",B298="Bayelsa",B298="Cross River",B298="Delta",B298="Edo",B298="Rivers"),"South South",
    OR(B298="Ekiti",B298="Lagos",B298="Ogun",B298="Ondo",B298="Osun",B298="Oyo"),"South West"
)</f>
        <v>South South</v>
      </c>
      <c r="H298">
        <f t="shared" si="4"/>
        <v>4964</v>
      </c>
    </row>
    <row r="299" spans="1:8" x14ac:dyDescent="0.35">
      <c r="A299" s="5">
        <v>2021</v>
      </c>
      <c r="B299" s="5" t="s">
        <v>20</v>
      </c>
      <c r="C299">
        <v>100</v>
      </c>
      <c r="D299" s="5">
        <v>100</v>
      </c>
      <c r="E299" s="6">
        <v>66</v>
      </c>
      <c r="F299" s="7">
        <v>34</v>
      </c>
      <c r="G299" t="str" cm="1">
        <f t="array" ref="G299">_xlfn.IFS(
    OR(B299="Benue",B299="Kogi",B299="Kwara",B299="Nasarawa",B299="Niger",B299="Plateau",B299="FCT"),"North Central",
    OR(B299="Adamawa",B299="Bauchi",B299="Borno",B299="Gombe",B299="Taraba",B299="Yobe"),"North East",
    OR(B299="Kaduna",B299="Kano",B299="Katsina",B299="Kebbi",B299="Sokoto",B299="Zamfara","Jigawa"),"North West",
    OR(B299="Abia",B299="Anambra",B299="Ebonyi",B299="Enugu",B299="Imo"),"South East",
    OR(B299="Akwa Ibom",B299="Bayelsa",B299="Cross River",B299="Delta",B299="Edo",B299="Rivers"),"South South",
    OR(B299="Ekiti",B299="Lagos",B299="Ogun",B299="Ondo",B299="Osun",B299="Oyo"),"South West"
)</f>
        <v>South West</v>
      </c>
      <c r="H299">
        <f t="shared" si="4"/>
        <v>100</v>
      </c>
    </row>
    <row r="300" spans="1:8" x14ac:dyDescent="0.35">
      <c r="A300" s="5">
        <v>2021</v>
      </c>
      <c r="B300" s="5" t="s">
        <v>26</v>
      </c>
      <c r="C300">
        <v>1800</v>
      </c>
      <c r="D300" s="5">
        <v>1800</v>
      </c>
      <c r="E300" s="6">
        <v>500</v>
      </c>
      <c r="F300" s="7">
        <v>1300</v>
      </c>
      <c r="G300" t="str" cm="1">
        <f t="array" ref="G300">_xlfn.IFS(
    OR(B300="Benue",B300="Kogi",B300="Kwara",B300="Nasarawa",B300="Niger",B300="Plateau",B300="FCT"),"North Central",
    OR(B300="Adamawa",B300="Bauchi",B300="Borno",B300="Gombe",B300="Taraba",B300="Yobe"),"North East",
    OR(B300="Kaduna",B300="Kano",B300="Katsina",B300="Kebbi",B300="Sokoto",B300="Zamfara","Jigawa"),"North West",
    OR(B300="Abia",B300="Anambra",B300="Ebonyi",B300="Enugu",B300="Imo"),"South East",
    OR(B300="Akwa Ibom",B300="Bayelsa",B300="Cross River",B300="Delta",B300="Edo",B300="Rivers"),"South South",
    OR(B300="Ekiti",B300="Lagos",B300="Ogun",B300="Ondo",B300="Osun",B300="Oyo"),"South West"
)</f>
        <v>North Central</v>
      </c>
      <c r="H300">
        <f t="shared" si="4"/>
        <v>1800</v>
      </c>
    </row>
    <row r="301" spans="1:8" x14ac:dyDescent="0.35">
      <c r="A301" s="5">
        <v>2021</v>
      </c>
      <c r="B301" s="5" t="s">
        <v>7</v>
      </c>
      <c r="C301">
        <v>800</v>
      </c>
      <c r="D301" s="5">
        <v>800</v>
      </c>
      <c r="E301" s="6">
        <v>600</v>
      </c>
      <c r="F301" s="7">
        <v>200</v>
      </c>
      <c r="G301" t="str" cm="1">
        <f t="array" ref="G301">_xlfn.IFS(
    OR(B301="Benue",B301="Kogi",B301="Kwara",B301="Nasarawa",B301="Niger",B301="Plateau",B301="FCT"),"North Central",
    OR(B301="Adamawa",B301="Bauchi",B301="Borno",B301="Gombe",B301="Taraba",B301="Yobe"),"North East",
    OR(B301="Kaduna",B301="Kano",B301="Katsina",B301="Kebbi",B301="Sokoto",B301="Zamfara","Jigawa"),"North West",
    OR(B301="Abia",B301="Anambra",B301="Ebonyi",B301="Enugu",B301="Imo"),"South East",
    OR(B301="Akwa Ibom",B301="Bayelsa",B301="Cross River",B301="Delta",B301="Edo",B301="Rivers"),"South South",
    OR(B301="Ekiti",B301="Lagos",B301="Ogun",B301="Ondo",B301="Osun",B301="Oyo"),"South West"
)</f>
        <v>South South</v>
      </c>
      <c r="H301">
        <f t="shared" si="4"/>
        <v>800</v>
      </c>
    </row>
    <row r="302" spans="1:8" x14ac:dyDescent="0.35">
      <c r="A302" s="5">
        <v>2021</v>
      </c>
      <c r="B302" s="5" t="s">
        <v>7</v>
      </c>
      <c r="C302">
        <v>14</v>
      </c>
      <c r="D302" s="5">
        <v>14</v>
      </c>
      <c r="E302" s="6">
        <v>5</v>
      </c>
      <c r="F302" s="7">
        <v>9</v>
      </c>
      <c r="G302" t="str" cm="1">
        <f t="array" ref="G302">_xlfn.IFS(
    OR(B302="Benue",B302="Kogi",B302="Kwara",B302="Nasarawa",B302="Niger",B302="Plateau",B302="FCT"),"North Central",
    OR(B302="Adamawa",B302="Bauchi",B302="Borno",B302="Gombe",B302="Taraba",B302="Yobe"),"North East",
    OR(B302="Kaduna",B302="Kano",B302="Katsina",B302="Kebbi",B302="Sokoto",B302="Zamfara","Jigawa"),"North West",
    OR(B302="Abia",B302="Anambra",B302="Ebonyi",B302="Enugu",B302="Imo"),"South East",
    OR(B302="Akwa Ibom",B302="Bayelsa",B302="Cross River",B302="Delta",B302="Edo",B302="Rivers"),"South South",
    OR(B302="Ekiti",B302="Lagos",B302="Ogun",B302="Ondo",B302="Osun",B302="Oyo"),"South West"
)</f>
        <v>South South</v>
      </c>
      <c r="H302">
        <f t="shared" si="4"/>
        <v>14</v>
      </c>
    </row>
    <row r="303" spans="1:8" x14ac:dyDescent="0.35">
      <c r="A303" s="5">
        <v>2021</v>
      </c>
      <c r="B303" s="5" t="s">
        <v>20</v>
      </c>
      <c r="C303">
        <v>3043</v>
      </c>
      <c r="D303" s="5">
        <v>3043</v>
      </c>
      <c r="E303" s="6">
        <v>370</v>
      </c>
      <c r="F303" s="7">
        <v>2673</v>
      </c>
      <c r="G303" t="str" cm="1">
        <f t="array" ref="G303">_xlfn.IFS(
    OR(B303="Benue",B303="Kogi",B303="Kwara",B303="Nasarawa",B303="Niger",B303="Plateau",B303="FCT"),"North Central",
    OR(B303="Adamawa",B303="Bauchi",B303="Borno",B303="Gombe",B303="Taraba",B303="Yobe"),"North East",
    OR(B303="Kaduna",B303="Kano",B303="Katsina",B303="Kebbi",B303="Sokoto",B303="Zamfara","Jigawa"),"North West",
    OR(B303="Abia",B303="Anambra",B303="Ebonyi",B303="Enugu",B303="Imo"),"South East",
    OR(B303="Akwa Ibom",B303="Bayelsa",B303="Cross River",B303="Delta",B303="Edo",B303="Rivers"),"South South",
    OR(B303="Ekiti",B303="Lagos",B303="Ogun",B303="Ondo",B303="Osun",B303="Oyo"),"South West"
)</f>
        <v>South West</v>
      </c>
      <c r="H303">
        <f t="shared" si="4"/>
        <v>3043</v>
      </c>
    </row>
    <row r="304" spans="1:8" x14ac:dyDescent="0.35">
      <c r="A304" s="5">
        <v>2021</v>
      </c>
      <c r="B304" s="5" t="s">
        <v>7</v>
      </c>
      <c r="C304">
        <v>2529</v>
      </c>
      <c r="D304" s="5">
        <v>2529</v>
      </c>
      <c r="E304" s="6">
        <v>245</v>
      </c>
      <c r="F304" s="7">
        <v>2284</v>
      </c>
      <c r="G304" t="str" cm="1">
        <f t="array" ref="G304">_xlfn.IFS(
    OR(B304="Benue",B304="Kogi",B304="Kwara",B304="Nasarawa",B304="Niger",B304="Plateau",B304="FCT"),"North Central",
    OR(B304="Adamawa",B304="Bauchi",B304="Borno",B304="Gombe",B304="Taraba",B304="Yobe"),"North East",
    OR(B304="Kaduna",B304="Kano",B304="Katsina",B304="Kebbi",B304="Sokoto",B304="Zamfara","Jigawa"),"North West",
    OR(B304="Abia",B304="Anambra",B304="Ebonyi",B304="Enugu",B304="Imo"),"South East",
    OR(B304="Akwa Ibom",B304="Bayelsa",B304="Cross River",B304="Delta",B304="Edo",B304="Rivers"),"South South",
    OR(B304="Ekiti",B304="Lagos",B304="Ogun",B304="Ondo",B304="Osun",B304="Oyo"),"South West"
)</f>
        <v>South South</v>
      </c>
      <c r="H304">
        <f t="shared" si="4"/>
        <v>2529</v>
      </c>
    </row>
    <row r="305" spans="1:8" x14ac:dyDescent="0.35">
      <c r="A305" s="5">
        <v>2021</v>
      </c>
      <c r="B305" s="5" t="s">
        <v>11</v>
      </c>
      <c r="C305">
        <v>1000</v>
      </c>
      <c r="D305" s="5">
        <v>1000</v>
      </c>
      <c r="E305" s="6">
        <v>200</v>
      </c>
      <c r="F305" s="7">
        <v>800</v>
      </c>
      <c r="G305" t="str" cm="1">
        <f t="array" ref="G305">_xlfn.IFS(
    OR(B305="Benue",B305="Kogi",B305="Kwara",B305="Nasarawa",B305="Niger",B305="Plateau",B305="FCT"),"North Central",
    OR(B305="Adamawa",B305="Bauchi",B305="Borno",B305="Gombe",B305="Taraba",B305="Yobe"),"North East",
    OR(B305="Kaduna",B305="Kano",B305="Katsina",B305="Kebbi",B305="Sokoto",B305="Zamfara","Jigawa"),"North West",
    OR(B305="Abia",B305="Anambra",B305="Ebonyi",B305="Enugu",B305="Imo"),"South East",
    OR(B305="Akwa Ibom",B305="Bayelsa",B305="Cross River",B305="Delta",B305="Edo",B305="Rivers"),"South South",
    OR(B305="Ekiti",B305="Lagos",B305="Ogun",B305="Ondo",B305="Osun",B305="Oyo"),"South West"
)</f>
        <v>South West</v>
      </c>
      <c r="H305">
        <f t="shared" si="4"/>
        <v>1000</v>
      </c>
    </row>
    <row r="306" spans="1:8" x14ac:dyDescent="0.35">
      <c r="A306" s="5">
        <v>2021</v>
      </c>
      <c r="B306" s="5" t="s">
        <v>11</v>
      </c>
      <c r="C306">
        <v>1200</v>
      </c>
      <c r="D306" s="5">
        <v>1200</v>
      </c>
      <c r="E306" s="6">
        <v>500</v>
      </c>
      <c r="F306" s="7">
        <v>700</v>
      </c>
      <c r="G306" t="str" cm="1">
        <f t="array" ref="G306">_xlfn.IFS(
    OR(B306="Benue",B306="Kogi",B306="Kwara",B306="Nasarawa",B306="Niger",B306="Plateau",B306="FCT"),"North Central",
    OR(B306="Adamawa",B306="Bauchi",B306="Borno",B306="Gombe",B306="Taraba",B306="Yobe"),"North East",
    OR(B306="Kaduna",B306="Kano",B306="Katsina",B306="Kebbi",B306="Sokoto",B306="Zamfara","Jigawa"),"North West",
    OR(B306="Abia",B306="Anambra",B306="Ebonyi",B306="Enugu",B306="Imo"),"South East",
    OR(B306="Akwa Ibom",B306="Bayelsa",B306="Cross River",B306="Delta",B306="Edo",B306="Rivers"),"South South",
    OR(B306="Ekiti",B306="Lagos",B306="Ogun",B306="Ondo",B306="Osun",B306="Oyo"),"South West"
)</f>
        <v>South West</v>
      </c>
      <c r="H306">
        <f t="shared" si="4"/>
        <v>1200</v>
      </c>
    </row>
    <row r="307" spans="1:8" x14ac:dyDescent="0.35">
      <c r="A307" s="5">
        <v>2021</v>
      </c>
      <c r="B307" s="5" t="s">
        <v>11</v>
      </c>
      <c r="C307">
        <v>65480</v>
      </c>
      <c r="D307" s="5">
        <v>65480</v>
      </c>
      <c r="E307" s="6">
        <v>8826</v>
      </c>
      <c r="F307" s="7">
        <v>56654</v>
      </c>
      <c r="G307" t="str" cm="1">
        <f t="array" ref="G307">_xlfn.IFS(
    OR(B307="Benue",B307="Kogi",B307="Kwara",B307="Nasarawa",B307="Niger",B307="Plateau",B307="FCT"),"North Central",
    OR(B307="Adamawa",B307="Bauchi",B307="Borno",B307="Gombe",B307="Taraba",B307="Yobe"),"North East",
    OR(B307="Kaduna",B307="Kano",B307="Katsina",B307="Kebbi",B307="Sokoto",B307="Zamfara","Jigawa"),"North West",
    OR(B307="Abia",B307="Anambra",B307="Ebonyi",B307="Enugu",B307="Imo"),"South East",
    OR(B307="Akwa Ibom",B307="Bayelsa",B307="Cross River",B307="Delta",B307="Edo",B307="Rivers"),"South South",
    OR(B307="Ekiti",B307="Lagos",B307="Ogun",B307="Ondo",B307="Osun",B307="Oyo"),"South West"
)</f>
        <v>South West</v>
      </c>
      <c r="H307">
        <f t="shared" si="4"/>
        <v>65480</v>
      </c>
    </row>
    <row r="308" spans="1:8" x14ac:dyDescent="0.35">
      <c r="A308" s="5">
        <v>2021</v>
      </c>
      <c r="B308" s="5" t="s">
        <v>11</v>
      </c>
      <c r="C308">
        <v>51995</v>
      </c>
      <c r="D308" s="5">
        <v>51995</v>
      </c>
      <c r="E308" s="6">
        <v>4770</v>
      </c>
      <c r="F308" s="7">
        <v>47225</v>
      </c>
      <c r="G308" t="str" cm="1">
        <f t="array" ref="G308">_xlfn.IFS(
    OR(B308="Benue",B308="Kogi",B308="Kwara",B308="Nasarawa",B308="Niger",B308="Plateau",B308="FCT"),"North Central",
    OR(B308="Adamawa",B308="Bauchi",B308="Borno",B308="Gombe",B308="Taraba",B308="Yobe"),"North East",
    OR(B308="Kaduna",B308="Kano",B308="Katsina",B308="Kebbi",B308="Sokoto",B308="Zamfara","Jigawa"),"North West",
    OR(B308="Abia",B308="Anambra",B308="Ebonyi",B308="Enugu",B308="Imo"),"South East",
    OR(B308="Akwa Ibom",B308="Bayelsa",B308="Cross River",B308="Delta",B308="Edo",B308="Rivers"),"South South",
    OR(B308="Ekiti",B308="Lagos",B308="Ogun",B308="Ondo",B308="Osun",B308="Oyo"),"South West"
)</f>
        <v>South West</v>
      </c>
      <c r="H308">
        <f t="shared" si="4"/>
        <v>51995</v>
      </c>
    </row>
    <row r="309" spans="1:8" x14ac:dyDescent="0.35">
      <c r="A309" s="5">
        <v>2021</v>
      </c>
      <c r="B309" s="5" t="s">
        <v>7</v>
      </c>
      <c r="C309">
        <v>33756</v>
      </c>
      <c r="D309" s="5">
        <v>33755</v>
      </c>
      <c r="E309" s="6">
        <v>488</v>
      </c>
      <c r="F309" s="7">
        <v>33268</v>
      </c>
      <c r="G309" t="str" cm="1">
        <f t="array" ref="G309">_xlfn.IFS(
    OR(B309="Benue",B309="Kogi",B309="Kwara",B309="Nasarawa",B309="Niger",B309="Plateau",B309="FCT"),"North Central",
    OR(B309="Adamawa",B309="Bauchi",B309="Borno",B309="Gombe",B309="Taraba",B309="Yobe"),"North East",
    OR(B309="Kaduna",B309="Kano",B309="Katsina",B309="Kebbi",B309="Sokoto",B309="Zamfara","Jigawa"),"North West",
    OR(B309="Abia",B309="Anambra",B309="Ebonyi",B309="Enugu",B309="Imo"),"South East",
    OR(B309="Akwa Ibom",B309="Bayelsa",B309="Cross River",B309="Delta",B309="Edo",B309="Rivers"),"South South",
    OR(B309="Ekiti",B309="Lagos",B309="Ogun",B309="Ondo",B309="Osun",B309="Oyo"),"South West"
)</f>
        <v>South South</v>
      </c>
      <c r="H309">
        <f t="shared" si="4"/>
        <v>33756</v>
      </c>
    </row>
    <row r="310" spans="1:8" x14ac:dyDescent="0.35">
      <c r="A310" s="5">
        <v>2021</v>
      </c>
      <c r="B310" s="5" t="s">
        <v>7</v>
      </c>
      <c r="C310">
        <v>4000</v>
      </c>
      <c r="D310" s="5">
        <v>4000</v>
      </c>
      <c r="E310" s="6">
        <v>185</v>
      </c>
      <c r="F310" s="7">
        <v>3815</v>
      </c>
      <c r="G310" t="str" cm="1">
        <f t="array" ref="G310">_xlfn.IFS(
    OR(B310="Benue",B310="Kogi",B310="Kwara",B310="Nasarawa",B310="Niger",B310="Plateau",B310="FCT"),"North Central",
    OR(B310="Adamawa",B310="Bauchi",B310="Borno",B310="Gombe",B310="Taraba",B310="Yobe"),"North East",
    OR(B310="Kaduna",B310="Kano",B310="Katsina",B310="Kebbi",B310="Sokoto",B310="Zamfara","Jigawa"),"North West",
    OR(B310="Abia",B310="Anambra",B310="Ebonyi",B310="Enugu",B310="Imo"),"South East",
    OR(B310="Akwa Ibom",B310="Bayelsa",B310="Cross River",B310="Delta",B310="Edo",B310="Rivers"),"South South",
    OR(B310="Ekiti",B310="Lagos",B310="Ogun",B310="Ondo",B310="Osun",B310="Oyo"),"South West"
)</f>
        <v>South South</v>
      </c>
      <c r="H310">
        <f t="shared" si="4"/>
        <v>4000</v>
      </c>
    </row>
    <row r="311" spans="1:8" x14ac:dyDescent="0.35">
      <c r="A311" s="5">
        <v>2021</v>
      </c>
      <c r="B311" s="5" t="s">
        <v>7</v>
      </c>
      <c r="C311">
        <v>2750</v>
      </c>
      <c r="D311" s="5">
        <v>2750</v>
      </c>
      <c r="E311" s="6">
        <v>650</v>
      </c>
      <c r="F311" s="7">
        <v>2100</v>
      </c>
      <c r="G311" t="str" cm="1">
        <f t="array" ref="G311">_xlfn.IFS(
    OR(B311="Benue",B311="Kogi",B311="Kwara",B311="Nasarawa",B311="Niger",B311="Plateau",B311="FCT"),"North Central",
    OR(B311="Adamawa",B311="Bauchi",B311="Borno",B311="Gombe",B311="Taraba",B311="Yobe"),"North East",
    OR(B311="Kaduna",B311="Kano",B311="Katsina",B311="Kebbi",B311="Sokoto",B311="Zamfara","Jigawa"),"North West",
    OR(B311="Abia",B311="Anambra",B311="Ebonyi",B311="Enugu",B311="Imo"),"South East",
    OR(B311="Akwa Ibom",B311="Bayelsa",B311="Cross River",B311="Delta",B311="Edo",B311="Rivers"),"South South",
    OR(B311="Ekiti",B311="Lagos",B311="Ogun",B311="Ondo",B311="Osun",B311="Oyo"),"South West"
)</f>
        <v>South South</v>
      </c>
      <c r="H311">
        <f t="shared" si="4"/>
        <v>2750</v>
      </c>
    </row>
    <row r="312" spans="1:8" x14ac:dyDescent="0.35">
      <c r="A312" s="5">
        <v>2021</v>
      </c>
      <c r="B312" s="5" t="s">
        <v>22</v>
      </c>
      <c r="C312">
        <v>2785</v>
      </c>
      <c r="D312" s="5">
        <v>2785</v>
      </c>
      <c r="E312" s="6">
        <v>402</v>
      </c>
      <c r="F312" s="7">
        <v>2383</v>
      </c>
      <c r="G312" t="str" cm="1">
        <f t="array" ref="G312">_xlfn.IFS(
    OR(B312="Benue",B312="Kogi",B312="Kwara",B312="Nasarawa",B312="Niger",B312="Plateau",B312="FCT"),"North Central",
    OR(B312="Adamawa",B312="Bauchi",B312="Borno",B312="Gombe",B312="Taraba",B312="Yobe"),"North East",
    OR(B312="Kaduna",B312="Kano",B312="Katsina",B312="Kebbi",B312="Sokoto",B312="Zamfara","Jigawa"),"North West",
    OR(B312="Abia",B312="Anambra",B312="Ebonyi",B312="Enugu",B312="Imo"),"South East",
    OR(B312="Akwa Ibom",B312="Bayelsa",B312="Cross River",B312="Delta",B312="Edo",B312="Rivers"),"South South",
    OR(B312="Ekiti",B312="Lagos",B312="Ogun",B312="Ondo",B312="Osun",B312="Oyo"),"South West"
)</f>
        <v>South South</v>
      </c>
      <c r="H312">
        <f t="shared" si="4"/>
        <v>2785</v>
      </c>
    </row>
    <row r="313" spans="1:8" x14ac:dyDescent="0.35">
      <c r="A313" s="5">
        <v>2021</v>
      </c>
      <c r="B313" s="5" t="s">
        <v>22</v>
      </c>
      <c r="C313">
        <v>3627</v>
      </c>
      <c r="D313" s="5">
        <v>3627</v>
      </c>
      <c r="E313" s="6">
        <v>441</v>
      </c>
      <c r="F313" s="7">
        <v>3186</v>
      </c>
      <c r="G313" t="str" cm="1">
        <f t="array" ref="G313">_xlfn.IFS(
    OR(B313="Benue",B313="Kogi",B313="Kwara",B313="Nasarawa",B313="Niger",B313="Plateau",B313="FCT"),"North Central",
    OR(B313="Adamawa",B313="Bauchi",B313="Borno",B313="Gombe",B313="Taraba",B313="Yobe"),"North East",
    OR(B313="Kaduna",B313="Kano",B313="Katsina",B313="Kebbi",B313="Sokoto",B313="Zamfara","Jigawa"),"North West",
    OR(B313="Abia",B313="Anambra",B313="Ebonyi",B313="Enugu",B313="Imo"),"South East",
    OR(B313="Akwa Ibom",B313="Bayelsa",B313="Cross River",B313="Delta",B313="Edo",B313="Rivers"),"South South",
    OR(B313="Ekiti",B313="Lagos",B313="Ogun",B313="Ondo",B313="Osun",B313="Oyo"),"South West"
)</f>
        <v>South South</v>
      </c>
      <c r="H313">
        <f t="shared" si="4"/>
        <v>3627</v>
      </c>
    </row>
    <row r="314" spans="1:8" x14ac:dyDescent="0.35">
      <c r="A314" s="5">
        <v>2021</v>
      </c>
      <c r="B314" s="5" t="s">
        <v>37</v>
      </c>
      <c r="C314">
        <v>2000</v>
      </c>
      <c r="D314" s="5">
        <v>2000</v>
      </c>
      <c r="E314" s="6">
        <v>687</v>
      </c>
      <c r="F314" s="7">
        <v>1313</v>
      </c>
      <c r="G314" t="str" cm="1">
        <f t="array" ref="G314">_xlfn.IFS(
    OR(B314="Benue",B314="Kogi",B314="Kwara",B314="Nasarawa",B314="Niger",B314="Plateau",B314="FCT"),"North Central",
    OR(B314="Adamawa",B314="Bauchi",B314="Borno",B314="Gombe",B314="Taraba",B314="Yobe"),"North East",
    OR(B314="Kaduna",B314="Kano",B314="Katsina",B314="Kebbi",B314="Sokoto",B314="Zamfara","Jigawa"),"North West",
    OR(B314="Abia",B314="Anambra",B314="Ebonyi",B314="Enugu",B314="Imo"),"South East",
    OR(B314="Akwa Ibom",B314="Bayelsa",B314="Cross River",B314="Delta",B314="Edo",B314="Rivers"),"South South",
    OR(B314="Ekiti",B314="Lagos",B314="Ogun",B314="Ondo",B314="Osun",B314="Oyo"),"South West"
)</f>
        <v>North East</v>
      </c>
      <c r="H314">
        <f t="shared" si="4"/>
        <v>2000</v>
      </c>
    </row>
    <row r="315" spans="1:8" x14ac:dyDescent="0.35">
      <c r="A315" s="5">
        <v>2021</v>
      </c>
      <c r="B315" s="5" t="s">
        <v>7</v>
      </c>
      <c r="C315">
        <v>1500</v>
      </c>
      <c r="D315" s="5">
        <v>1500</v>
      </c>
      <c r="E315" s="6">
        <v>100</v>
      </c>
      <c r="F315" s="7">
        <v>1400</v>
      </c>
      <c r="G315" t="str" cm="1">
        <f t="array" ref="G315">_xlfn.IFS(
    OR(B315="Benue",B315="Kogi",B315="Kwara",B315="Nasarawa",B315="Niger",B315="Plateau",B315="FCT"),"North Central",
    OR(B315="Adamawa",B315="Bauchi",B315="Borno",B315="Gombe",B315="Taraba",B315="Yobe"),"North East",
    OR(B315="Kaduna",B315="Kano",B315="Katsina",B315="Kebbi",B315="Sokoto",B315="Zamfara","Jigawa"),"North West",
    OR(B315="Abia",B315="Anambra",B315="Ebonyi",B315="Enugu",B315="Imo"),"South East",
    OR(B315="Akwa Ibom",B315="Bayelsa",B315="Cross River",B315="Delta",B315="Edo",B315="Rivers"),"South South",
    OR(B315="Ekiti",B315="Lagos",B315="Ogun",B315="Ondo",B315="Osun",B315="Oyo"),"South West"
)</f>
        <v>South South</v>
      </c>
      <c r="H315">
        <f t="shared" si="4"/>
        <v>1500</v>
      </c>
    </row>
    <row r="316" spans="1:8" x14ac:dyDescent="0.35">
      <c r="A316" s="5">
        <v>2021</v>
      </c>
      <c r="B316" s="5" t="s">
        <v>7</v>
      </c>
      <c r="C316">
        <v>3000</v>
      </c>
      <c r="D316" s="5">
        <v>3000</v>
      </c>
      <c r="E316" s="6">
        <v>200</v>
      </c>
      <c r="F316" s="7">
        <v>2800</v>
      </c>
      <c r="G316" t="str" cm="1">
        <f t="array" ref="G316">_xlfn.IFS(
    OR(B316="Benue",B316="Kogi",B316="Kwara",B316="Nasarawa",B316="Niger",B316="Plateau",B316="FCT"),"North Central",
    OR(B316="Adamawa",B316="Bauchi",B316="Borno",B316="Gombe",B316="Taraba",B316="Yobe"),"North East",
    OR(B316="Kaduna",B316="Kano",B316="Katsina",B316="Kebbi",B316="Sokoto",B316="Zamfara","Jigawa"),"North West",
    OR(B316="Abia",B316="Anambra",B316="Ebonyi",B316="Enugu",B316="Imo"),"South East",
    OR(B316="Akwa Ibom",B316="Bayelsa",B316="Cross River",B316="Delta",B316="Edo",B316="Rivers"),"South South",
    OR(B316="Ekiti",B316="Lagos",B316="Ogun",B316="Ondo",B316="Osun",B316="Oyo"),"South West"
)</f>
        <v>South South</v>
      </c>
      <c r="H316">
        <f t="shared" si="4"/>
        <v>3000</v>
      </c>
    </row>
    <row r="317" spans="1:8" x14ac:dyDescent="0.35">
      <c r="A317" s="5">
        <v>2021</v>
      </c>
      <c r="B317" s="5" t="s">
        <v>29</v>
      </c>
      <c r="C317">
        <v>9000</v>
      </c>
      <c r="D317" s="5">
        <v>9000</v>
      </c>
      <c r="E317" s="6">
        <v>3000</v>
      </c>
      <c r="F317" s="7">
        <v>6000</v>
      </c>
      <c r="G317" t="str" cm="1">
        <f t="array" ref="G317">_xlfn.IFS(
    OR(B317="Benue",B317="Kogi",B317="Kwara",B317="Nasarawa",B317="Niger",B317="Plateau",B317="FCT"),"North Central",
    OR(B317="Adamawa",B317="Bauchi",B317="Borno",B317="Gombe",B317="Taraba",B317="Yobe"),"North East",
    OR(B317="Kaduna",B317="Kano",B317="Katsina",B317="Kebbi",B317="Sokoto",B317="Zamfara","Jigawa"),"North West",
    OR(B317="Abia",B317="Anambra",B317="Ebonyi",B317="Enugu",B317="Imo"),"South East",
    OR(B317="Akwa Ibom",B317="Bayelsa",B317="Cross River",B317="Delta",B317="Edo",B317="Rivers"),"South South",
    OR(B317="Ekiti",B317="Lagos",B317="Ogun",B317="Ondo",B317="Osun",B317="Oyo"),"South West"
)</f>
        <v>South East</v>
      </c>
      <c r="H317">
        <f t="shared" si="4"/>
        <v>9000</v>
      </c>
    </row>
    <row r="318" spans="1:8" x14ac:dyDescent="0.35">
      <c r="A318" s="5">
        <v>2021</v>
      </c>
      <c r="B318" s="5" t="s">
        <v>11</v>
      </c>
      <c r="C318">
        <v>100</v>
      </c>
      <c r="D318" s="5">
        <v>100</v>
      </c>
      <c r="E318" s="6">
        <v>15</v>
      </c>
      <c r="F318" s="7">
        <v>85</v>
      </c>
      <c r="G318" t="str" cm="1">
        <f t="array" ref="G318">_xlfn.IFS(
    OR(B318="Benue",B318="Kogi",B318="Kwara",B318="Nasarawa",B318="Niger",B318="Plateau",B318="FCT"),"North Central",
    OR(B318="Adamawa",B318="Bauchi",B318="Borno",B318="Gombe",B318="Taraba",B318="Yobe"),"North East",
    OR(B318="Kaduna",B318="Kano",B318="Katsina",B318="Kebbi",B318="Sokoto",B318="Zamfara","Jigawa"),"North West",
    OR(B318="Abia",B318="Anambra",B318="Ebonyi",B318="Enugu",B318="Imo"),"South East",
    OR(B318="Akwa Ibom",B318="Bayelsa",B318="Cross River",B318="Delta",B318="Edo",B318="Rivers"),"South South",
    OR(B318="Ekiti",B318="Lagos",B318="Ogun",B318="Ondo",B318="Osun",B318="Oyo"),"South West"
)</f>
        <v>South West</v>
      </c>
      <c r="H318">
        <f t="shared" si="4"/>
        <v>100</v>
      </c>
    </row>
    <row r="319" spans="1:8" x14ac:dyDescent="0.35">
      <c r="A319" s="5">
        <v>2021</v>
      </c>
      <c r="B319" s="5" t="s">
        <v>20</v>
      </c>
      <c r="C319">
        <v>3000</v>
      </c>
      <c r="D319" s="5">
        <v>2800</v>
      </c>
      <c r="E319" s="6">
        <v>200</v>
      </c>
      <c r="F319" s="7">
        <v>2800</v>
      </c>
      <c r="G319" t="str" cm="1">
        <f t="array" ref="G319">_xlfn.IFS(
    OR(B319="Benue",B319="Kogi",B319="Kwara",B319="Nasarawa",B319="Niger",B319="Plateau",B319="FCT"),"North Central",
    OR(B319="Adamawa",B319="Bauchi",B319="Borno",B319="Gombe",B319="Taraba",B319="Yobe"),"North East",
    OR(B319="Kaduna",B319="Kano",B319="Katsina",B319="Kebbi",B319="Sokoto",B319="Zamfara","Jigawa"),"North West",
    OR(B319="Abia",B319="Anambra",B319="Ebonyi",B319="Enugu",B319="Imo"),"South East",
    OR(B319="Akwa Ibom",B319="Bayelsa",B319="Cross River",B319="Delta",B319="Edo",B319="Rivers"),"South South",
    OR(B319="Ekiti",B319="Lagos",B319="Ogun",B319="Ondo",B319="Osun",B319="Oyo"),"South West"
)</f>
        <v>South West</v>
      </c>
      <c r="H319">
        <f t="shared" si="4"/>
        <v>3000</v>
      </c>
    </row>
    <row r="320" spans="1:8" x14ac:dyDescent="0.35">
      <c r="A320" s="5">
        <v>2021</v>
      </c>
      <c r="B320" s="5" t="s">
        <v>22</v>
      </c>
      <c r="C320">
        <v>2507</v>
      </c>
      <c r="D320" s="5">
        <v>2507</v>
      </c>
      <c r="E320" s="6">
        <v>325</v>
      </c>
      <c r="F320" s="7">
        <v>2182</v>
      </c>
      <c r="G320" t="str" cm="1">
        <f t="array" ref="G320">_xlfn.IFS(
    OR(B320="Benue",B320="Kogi",B320="Kwara",B320="Nasarawa",B320="Niger",B320="Plateau",B320="FCT"),"North Central",
    OR(B320="Adamawa",B320="Bauchi",B320="Borno",B320="Gombe",B320="Taraba",B320="Yobe"),"North East",
    OR(B320="Kaduna",B320="Kano",B320="Katsina",B320="Kebbi",B320="Sokoto",B320="Zamfara","Jigawa"),"North West",
    OR(B320="Abia",B320="Anambra",B320="Ebonyi",B320="Enugu",B320="Imo"),"South East",
    OR(B320="Akwa Ibom",B320="Bayelsa",B320="Cross River",B320="Delta",B320="Edo",B320="Rivers"),"South South",
    OR(B320="Ekiti",B320="Lagos",B320="Ogun",B320="Ondo",B320="Osun",B320="Oyo"),"South West"
)</f>
        <v>South South</v>
      </c>
      <c r="H320">
        <f t="shared" si="4"/>
        <v>2507</v>
      </c>
    </row>
    <row r="321" spans="1:8" x14ac:dyDescent="0.35">
      <c r="A321" s="5">
        <v>2021</v>
      </c>
      <c r="B321" s="5" t="s">
        <v>9</v>
      </c>
      <c r="C321">
        <v>1500</v>
      </c>
      <c r="D321" s="5">
        <v>1500</v>
      </c>
      <c r="E321" s="6">
        <v>300</v>
      </c>
      <c r="F321" s="7">
        <v>1200</v>
      </c>
      <c r="G321" t="str" cm="1">
        <f t="array" ref="G321">_xlfn.IFS(
    OR(B321="Benue",B321="Kogi",B321="Kwara",B321="Nasarawa",B321="Niger",B321="Plateau",B321="FCT"),"North Central",
    OR(B321="Adamawa",B321="Bauchi",B321="Borno",B321="Gombe",B321="Taraba",B321="Yobe"),"North East",
    OR(B321="Kaduna",B321="Kano",B321="Katsina",B321="Kebbi",B321="Sokoto",B321="Zamfara","Jigawa"),"North West",
    OR(B321="Abia",B321="Anambra",B321="Ebonyi",B321="Enugu",B321="Imo"),"South East",
    OR(B321="Akwa Ibom",B321="Bayelsa",B321="Cross River",B321="Delta",B321="Edo",B321="Rivers"),"South South",
    OR(B321="Ekiti",B321="Lagos",B321="Ogun",B321="Ondo",B321="Osun",B321="Oyo"),"South West"
)</f>
        <v>North Central</v>
      </c>
      <c r="H321">
        <f t="shared" si="4"/>
        <v>1500</v>
      </c>
    </row>
    <row r="322" spans="1:8" x14ac:dyDescent="0.35">
      <c r="A322" s="5">
        <v>2021</v>
      </c>
      <c r="B322" s="5" t="s">
        <v>14</v>
      </c>
      <c r="C322">
        <v>1000</v>
      </c>
      <c r="D322" s="5">
        <v>1000</v>
      </c>
      <c r="E322" s="6">
        <v>100</v>
      </c>
      <c r="F322" s="7">
        <v>900</v>
      </c>
      <c r="G322" t="str" cm="1">
        <f t="array" ref="G322">_xlfn.IFS(
    OR(B322="Benue",B322="Kogi",B322="Kwara",B322="Nasarawa",B322="Niger",B322="Plateau",B322="FCT"),"North Central",
    OR(B322="Adamawa",B322="Bauchi",B322="Borno",B322="Gombe",B322="Taraba",B322="Yobe"),"North East",
    OR(B322="Kaduna",B322="Kano",B322="Katsina",B322="Kebbi",B322="Sokoto",B322="Zamfara","Jigawa"),"North West",
    OR(B322="Abia",B322="Anambra",B322="Ebonyi",B322="Enugu",B322="Imo"),"South East",
    OR(B322="Akwa Ibom",B322="Bayelsa",B322="Cross River",B322="Delta",B322="Edo",B322="Rivers"),"South South",
    OR(B322="Ekiti",B322="Lagos",B322="Ogun",B322="Ondo",B322="Osun",B322="Oyo"),"South West"
)</f>
        <v>North East</v>
      </c>
      <c r="H322">
        <f t="shared" si="4"/>
        <v>1000</v>
      </c>
    </row>
    <row r="323" spans="1:8" x14ac:dyDescent="0.35">
      <c r="A323" s="5">
        <v>2021</v>
      </c>
      <c r="B323" s="5" t="s">
        <v>7</v>
      </c>
      <c r="C323">
        <v>1729</v>
      </c>
      <c r="D323" s="5">
        <v>1729</v>
      </c>
      <c r="E323" s="6">
        <v>100</v>
      </c>
      <c r="F323" s="7">
        <v>1629</v>
      </c>
      <c r="G323" t="str" cm="1">
        <f t="array" ref="G323">_xlfn.IFS(
    OR(B323="Benue",B323="Kogi",B323="Kwara",B323="Nasarawa",B323="Niger",B323="Plateau",B323="FCT"),"North Central",
    OR(B323="Adamawa",B323="Bauchi",B323="Borno",B323="Gombe",B323="Taraba",B323="Yobe"),"North East",
    OR(B323="Kaduna",B323="Kano",B323="Katsina",B323="Kebbi",B323="Sokoto",B323="Zamfara","Jigawa"),"North West",
    OR(B323="Abia",B323="Anambra",B323="Ebonyi",B323="Enugu",B323="Imo"),"South East",
    OR(B323="Akwa Ibom",B323="Bayelsa",B323="Cross River",B323="Delta",B323="Edo",B323="Rivers"),"South South",
    OR(B323="Ekiti",B323="Lagos",B323="Ogun",B323="Ondo",B323="Osun",B323="Oyo"),"South West"
)</f>
        <v>South South</v>
      </c>
      <c r="H323">
        <f t="shared" ref="H323:H339" si="5">E323+F323</f>
        <v>1729</v>
      </c>
    </row>
    <row r="324" spans="1:8" x14ac:dyDescent="0.35">
      <c r="A324" s="5">
        <v>2021</v>
      </c>
      <c r="B324" s="5" t="s">
        <v>11</v>
      </c>
      <c r="C324">
        <v>12</v>
      </c>
      <c r="D324" s="5">
        <v>12</v>
      </c>
      <c r="E324" s="6">
        <v>4</v>
      </c>
      <c r="F324" s="7">
        <v>8</v>
      </c>
      <c r="G324" t="str" cm="1">
        <f t="array" ref="G324">_xlfn.IFS(
    OR(B324="Benue",B324="Kogi",B324="Kwara",B324="Nasarawa",B324="Niger",B324="Plateau",B324="FCT"),"North Central",
    OR(B324="Adamawa",B324="Bauchi",B324="Borno",B324="Gombe",B324="Taraba",B324="Yobe"),"North East",
    OR(B324="Kaduna",B324="Kano",B324="Katsina",B324="Kebbi",B324="Sokoto",B324="Zamfara","Jigawa"),"North West",
    OR(B324="Abia",B324="Anambra",B324="Ebonyi",B324="Enugu",B324="Imo"),"South East",
    OR(B324="Akwa Ibom",B324="Bayelsa",B324="Cross River",B324="Delta",B324="Edo",B324="Rivers"),"South South",
    OR(B324="Ekiti",B324="Lagos",B324="Ogun",B324="Ondo",B324="Osun",B324="Oyo"),"South West"
)</f>
        <v>South West</v>
      </c>
      <c r="H324">
        <f t="shared" si="5"/>
        <v>12</v>
      </c>
    </row>
    <row r="325" spans="1:8" x14ac:dyDescent="0.35">
      <c r="A325" s="5">
        <v>2021</v>
      </c>
      <c r="B325" s="5" t="s">
        <v>22</v>
      </c>
      <c r="C325">
        <v>800</v>
      </c>
      <c r="D325" s="5">
        <v>800</v>
      </c>
      <c r="E325" s="6">
        <v>300</v>
      </c>
      <c r="F325" s="7">
        <v>500</v>
      </c>
      <c r="G325" t="str" cm="1">
        <f t="array" ref="G325">_xlfn.IFS(
    OR(B325="Benue",B325="Kogi",B325="Kwara",B325="Nasarawa",B325="Niger",B325="Plateau",B325="FCT"),"North Central",
    OR(B325="Adamawa",B325="Bauchi",B325="Borno",B325="Gombe",B325="Taraba",B325="Yobe"),"North East",
    OR(B325="Kaduna",B325="Kano",B325="Katsina",B325="Kebbi",B325="Sokoto",B325="Zamfara","Jigawa"),"North West",
    OR(B325="Abia",B325="Anambra",B325="Ebonyi",B325="Enugu",B325="Imo"),"South East",
    OR(B325="Akwa Ibom",B325="Bayelsa",B325="Cross River",B325="Delta",B325="Edo",B325="Rivers"),"South South",
    OR(B325="Ekiti",B325="Lagos",B325="Ogun",B325="Ondo",B325="Osun",B325="Oyo"),"South West"
)</f>
        <v>South South</v>
      </c>
      <c r="H325">
        <f t="shared" si="5"/>
        <v>800</v>
      </c>
    </row>
    <row r="326" spans="1:8" x14ac:dyDescent="0.35">
      <c r="A326" s="5">
        <v>2021</v>
      </c>
      <c r="B326" s="5" t="s">
        <v>22</v>
      </c>
      <c r="C326">
        <v>2000</v>
      </c>
      <c r="D326" s="5">
        <v>2000</v>
      </c>
      <c r="E326" s="6">
        <v>1000</v>
      </c>
      <c r="F326" s="7">
        <v>1000</v>
      </c>
      <c r="G326" t="str" cm="1">
        <f t="array" ref="G326">_xlfn.IFS(
    OR(B326="Benue",B326="Kogi",B326="Kwara",B326="Nasarawa",B326="Niger",B326="Plateau",B326="FCT"),"North Central",
    OR(B326="Adamawa",B326="Bauchi",B326="Borno",B326="Gombe",B326="Taraba",B326="Yobe"),"North East",
    OR(B326="Kaduna",B326="Kano",B326="Katsina",B326="Kebbi",B326="Sokoto",B326="Zamfara","Jigawa"),"North West",
    OR(B326="Abia",B326="Anambra",B326="Ebonyi",B326="Enugu",B326="Imo"),"South East",
    OR(B326="Akwa Ibom",B326="Bayelsa",B326="Cross River",B326="Delta",B326="Edo",B326="Rivers"),"South South",
    OR(B326="Ekiti",B326="Lagos",B326="Ogun",B326="Ondo",B326="Osun",B326="Oyo"),"South West"
)</f>
        <v>South South</v>
      </c>
      <c r="H326">
        <f t="shared" si="5"/>
        <v>2000</v>
      </c>
    </row>
    <row r="327" spans="1:8" x14ac:dyDescent="0.35">
      <c r="A327" s="5">
        <v>2021</v>
      </c>
      <c r="B327" s="5" t="s">
        <v>17</v>
      </c>
      <c r="C327">
        <v>1500</v>
      </c>
      <c r="D327" s="5">
        <v>1500</v>
      </c>
      <c r="E327" s="6">
        <v>802</v>
      </c>
      <c r="F327" s="7">
        <v>698</v>
      </c>
      <c r="G327" t="str" cm="1">
        <f t="array" ref="G327">_xlfn.IFS(
    OR(B327="Benue",B327="Kogi",B327="Kwara",B327="Nasarawa",B327="Niger",B327="Plateau",B327="FCT"),"North Central",
    OR(B327="Adamawa",B327="Bauchi",B327="Borno",B327="Gombe",B327="Taraba",B327="Yobe"),"North East",
    OR(B327="Kaduna",B327="Kano",B327="Katsina",B327="Kebbi",B327="Sokoto",B327="Zamfara","Jigawa"),"North West",
    OR(B327="Abia",B327="Anambra",B327="Ebonyi",B327="Enugu",B327="Imo"),"South East",
    OR(B327="Akwa Ibom",B327="Bayelsa",B327="Cross River",B327="Delta",B327="Edo",B327="Rivers"),"South South",
    OR(B327="Ekiti",B327="Lagos",B327="Ogun",B327="Ondo",B327="Osun",B327="Oyo"),"South West"
)</f>
        <v>North Central</v>
      </c>
      <c r="H327">
        <f t="shared" si="5"/>
        <v>1500</v>
      </c>
    </row>
    <row r="328" spans="1:8" ht="29" x14ac:dyDescent="0.35">
      <c r="A328" s="5">
        <v>2021</v>
      </c>
      <c r="B328" s="5" t="s">
        <v>28</v>
      </c>
      <c r="C328">
        <v>500</v>
      </c>
      <c r="D328" s="5">
        <v>500</v>
      </c>
      <c r="E328" s="6">
        <v>350</v>
      </c>
      <c r="F328" s="7">
        <v>150</v>
      </c>
      <c r="G328" t="str" cm="1">
        <f t="array" ref="G328">_xlfn.IFS(
    OR(B328="Benue",B328="Kogi",B328="Kwara",B328="Nasarawa",B328="Niger",B328="Plateau",B328="FCT"),"North Central",
    OR(B328="Adamawa",B328="Bauchi",B328="Borno",B328="Gombe",B328="Taraba",B328="Yobe"),"North East",
    OR(B328="Kaduna",B328="Kano",B328="Katsina",B328="Kebbi",B328="Sokoto",B328="Zamfara","Jigawa"),"North West",
    OR(B328="Abia",B328="Anambra",B328="Ebonyi",B328="Enugu",B328="Imo"),"South East",
    OR(B328="Akwa Ibom",B328="Bayelsa",B328="Cross River",B328="Delta",B328="Edo",B328="Rivers"),"South South",
    OR(B328="Ekiti",B328="Lagos",B328="Ogun",B328="Ondo",B328="Osun",B328="Oyo"),"South West"
)</f>
        <v>North Central</v>
      </c>
      <c r="H328">
        <f t="shared" si="5"/>
        <v>500</v>
      </c>
    </row>
    <row r="329" spans="1:8" ht="29" x14ac:dyDescent="0.35">
      <c r="A329" s="5">
        <v>2021</v>
      </c>
      <c r="B329" s="5" t="s">
        <v>28</v>
      </c>
      <c r="C329">
        <v>2000</v>
      </c>
      <c r="D329" s="5">
        <v>2000</v>
      </c>
      <c r="E329" s="6">
        <v>1200</v>
      </c>
      <c r="F329" s="7">
        <v>800</v>
      </c>
      <c r="G329" t="str" cm="1">
        <f t="array" ref="G329">_xlfn.IFS(
    OR(B329="Benue",B329="Kogi",B329="Kwara",B329="Nasarawa",B329="Niger",B329="Plateau",B329="FCT"),"North Central",
    OR(B329="Adamawa",B329="Bauchi",B329="Borno",B329="Gombe",B329="Taraba",B329="Yobe"),"North East",
    OR(B329="Kaduna",B329="Kano",B329="Katsina",B329="Kebbi",B329="Sokoto",B329="Zamfara","Jigawa"),"North West",
    OR(B329="Abia",B329="Anambra",B329="Ebonyi",B329="Enugu",B329="Imo"),"South East",
    OR(B329="Akwa Ibom",B329="Bayelsa",B329="Cross River",B329="Delta",B329="Edo",B329="Rivers"),"South South",
    OR(B329="Ekiti",B329="Lagos",B329="Ogun",B329="Ondo",B329="Osun",B329="Oyo"),"South West"
)</f>
        <v>North Central</v>
      </c>
      <c r="H329">
        <f t="shared" si="5"/>
        <v>2000</v>
      </c>
    </row>
    <row r="330" spans="1:8" ht="29" x14ac:dyDescent="0.35">
      <c r="A330" s="5">
        <v>2021</v>
      </c>
      <c r="B330" s="5" t="s">
        <v>28</v>
      </c>
      <c r="C330">
        <v>4500</v>
      </c>
      <c r="D330" s="5">
        <v>4500</v>
      </c>
      <c r="E330" s="6">
        <v>1000</v>
      </c>
      <c r="F330" s="7">
        <v>3500</v>
      </c>
      <c r="G330" t="str" cm="1">
        <f t="array" ref="G330">_xlfn.IFS(
    OR(B330="Benue",B330="Kogi",B330="Kwara",B330="Nasarawa",B330="Niger",B330="Plateau",B330="FCT"),"North Central",
    OR(B330="Adamawa",B330="Bauchi",B330="Borno",B330="Gombe",B330="Taraba",B330="Yobe"),"North East",
    OR(B330="Kaduna",B330="Kano",B330="Katsina",B330="Kebbi",B330="Sokoto",B330="Zamfara","Jigawa"),"North West",
    OR(B330="Abia",B330="Anambra",B330="Ebonyi",B330="Enugu",B330="Imo"),"South East",
    OR(B330="Akwa Ibom",B330="Bayelsa",B330="Cross River",B330="Delta",B330="Edo",B330="Rivers"),"South South",
    OR(B330="Ekiti",B330="Lagos",B330="Ogun",B330="Ondo",B330="Osun",B330="Oyo"),"South West"
)</f>
        <v>North Central</v>
      </c>
      <c r="H330">
        <f t="shared" si="5"/>
        <v>4500</v>
      </c>
    </row>
    <row r="331" spans="1:8" x14ac:dyDescent="0.35">
      <c r="A331" s="5">
        <v>2021</v>
      </c>
      <c r="B331" s="5" t="s">
        <v>24</v>
      </c>
      <c r="C331">
        <v>1500</v>
      </c>
      <c r="D331" s="5">
        <v>1500</v>
      </c>
      <c r="E331" s="6">
        <v>120</v>
      </c>
      <c r="F331" s="7">
        <v>1380</v>
      </c>
      <c r="G331" t="str" cm="1">
        <f t="array" ref="G331">_xlfn.IFS(
    OR(B331="Benue",B331="Kogi",B331="Kwara",B331="Nasarawa",B331="Niger",B331="Plateau",B331="FCT"),"North Central",
    OR(B331="Adamawa",B331="Bauchi",B331="Borno",B331="Gombe",B331="Taraba",B331="Yobe"),"North East",
    OR(B331="Kaduna",B331="Kano",B331="Katsina",B331="Kebbi",B331="Sokoto",B331="Zamfara","Jigawa"),"North West",
    OR(B331="Abia",B331="Anambra",B331="Ebonyi",B331="Enugu",B331="Imo"),"South East",
    OR(B331="Akwa Ibom",B331="Bayelsa",B331="Cross River",B331="Delta",B331="Edo",B331="Rivers"),"South South",
    OR(B331="Ekiti",B331="Lagos",B331="Ogun",B331="Ondo",B331="Osun",B331="Oyo"),"South West"
)</f>
        <v>North West</v>
      </c>
      <c r="H331">
        <f t="shared" si="5"/>
        <v>1500</v>
      </c>
    </row>
    <row r="332" spans="1:8" x14ac:dyDescent="0.35">
      <c r="A332" s="5">
        <v>2021</v>
      </c>
      <c r="B332" s="5" t="s">
        <v>24</v>
      </c>
      <c r="C332">
        <v>1500</v>
      </c>
      <c r="D332" s="5">
        <v>1500</v>
      </c>
      <c r="E332" s="6">
        <v>1500</v>
      </c>
      <c r="G332" t="str" cm="1">
        <f t="array" ref="G332">_xlfn.IFS(
    OR(B332="Benue",B332="Kogi",B332="Kwara",B332="Nasarawa",B332="Niger",B332="Plateau",B332="FCT"),"North Central",
    OR(B332="Adamawa",B332="Bauchi",B332="Borno",B332="Gombe",B332="Taraba",B332="Yobe"),"North East",
    OR(B332="Kaduna",B332="Kano",B332="Katsina",B332="Kebbi",B332="Sokoto",B332="Zamfara","Jigawa"),"North West",
    OR(B332="Abia",B332="Anambra",B332="Ebonyi",B332="Enugu",B332="Imo"),"South East",
    OR(B332="Akwa Ibom",B332="Bayelsa",B332="Cross River",B332="Delta",B332="Edo",B332="Rivers"),"South South",
    OR(B332="Ekiti",B332="Lagos",B332="Ogun",B332="Ondo",B332="Osun",B332="Oyo"),"South West"
)</f>
        <v>North West</v>
      </c>
      <c r="H332">
        <f t="shared" si="5"/>
        <v>1500</v>
      </c>
    </row>
    <row r="333" spans="1:8" x14ac:dyDescent="0.35">
      <c r="A333" s="5">
        <v>2021</v>
      </c>
      <c r="B333" s="5" t="s">
        <v>23</v>
      </c>
      <c r="C333">
        <v>1980</v>
      </c>
      <c r="D333" s="5">
        <v>1980</v>
      </c>
      <c r="E333" s="6">
        <v>1584</v>
      </c>
      <c r="F333" s="7">
        <v>396</v>
      </c>
      <c r="G333" t="str" cm="1">
        <f t="array" ref="G333">_xlfn.IFS(
    OR(B333="Benue",B333="Kogi",B333="Kwara",B333="Nasarawa",B333="Niger",B333="Plateau",B333="FCT"),"North Central",
    OR(B333="Adamawa",B333="Bauchi",B333="Borno",B333="Gombe",B333="Taraba",B333="Yobe"),"North East",
    OR(B333="Kaduna",B333="Kano",B333="Katsina",B333="Kebbi",B333="Sokoto",B333="Zamfara","Jigawa"),"North West",
    OR(B333="Abia",B333="Anambra",B333="Ebonyi",B333="Enugu",B333="Imo"),"South East",
    OR(B333="Akwa Ibom",B333="Bayelsa",B333="Cross River",B333="Delta",B333="Edo",B333="Rivers"),"South South",
    OR(B333="Ekiti",B333="Lagos",B333="Ogun",B333="Ondo",B333="Osun",B333="Oyo"),"South West"
)</f>
        <v>North East</v>
      </c>
      <c r="H333">
        <f t="shared" si="5"/>
        <v>1980</v>
      </c>
    </row>
    <row r="334" spans="1:8" x14ac:dyDescent="0.35">
      <c r="A334" s="5">
        <v>2021</v>
      </c>
      <c r="B334" s="5" t="s">
        <v>14</v>
      </c>
      <c r="C334">
        <v>27600</v>
      </c>
      <c r="D334" s="5">
        <v>27600</v>
      </c>
      <c r="E334" s="6">
        <v>1825</v>
      </c>
      <c r="F334" s="7">
        <v>25775</v>
      </c>
      <c r="G334" t="str" cm="1">
        <f t="array" ref="G334">_xlfn.IFS(
    OR(B334="Benue",B334="Kogi",B334="Kwara",B334="Nasarawa",B334="Niger",B334="Plateau",B334="FCT"),"North Central",
    OR(B334="Adamawa",B334="Bauchi",B334="Borno",B334="Gombe",B334="Taraba",B334="Yobe"),"North East",
    OR(B334="Kaduna",B334="Kano",B334="Katsina",B334="Kebbi",B334="Sokoto",B334="Zamfara","Jigawa"),"North West",
    OR(B334="Abia",B334="Anambra",B334="Ebonyi",B334="Enugu",B334="Imo"),"South East",
    OR(B334="Akwa Ibom",B334="Bayelsa",B334="Cross River",B334="Delta",B334="Edo",B334="Rivers"),"South South",
    OR(B334="Ekiti",B334="Lagos",B334="Ogun",B334="Ondo",B334="Osun",B334="Oyo"),"South West"
)</f>
        <v>North East</v>
      </c>
      <c r="H334">
        <f t="shared" si="5"/>
        <v>27600</v>
      </c>
    </row>
    <row r="335" spans="1:8" x14ac:dyDescent="0.35">
      <c r="A335" s="5">
        <v>2021</v>
      </c>
      <c r="B335" s="5" t="s">
        <v>14</v>
      </c>
      <c r="C335">
        <v>500</v>
      </c>
      <c r="D335" s="5">
        <v>500</v>
      </c>
      <c r="E335" s="6">
        <v>60</v>
      </c>
      <c r="F335" s="7">
        <v>440</v>
      </c>
      <c r="G335" t="str" cm="1">
        <f t="array" ref="G335">_xlfn.IFS(
    OR(B335="Benue",B335="Kogi",B335="Kwara",B335="Nasarawa",B335="Niger",B335="Plateau",B335="FCT"),"North Central",
    OR(B335="Adamawa",B335="Bauchi",B335="Borno",B335="Gombe",B335="Taraba",B335="Yobe"),"North East",
    OR(B335="Kaduna",B335="Kano",B335="Katsina",B335="Kebbi",B335="Sokoto",B335="Zamfara","Jigawa"),"North West",
    OR(B335="Abia",B335="Anambra",B335="Ebonyi",B335="Enugu",B335="Imo"),"South East",
    OR(B335="Akwa Ibom",B335="Bayelsa",B335="Cross River",B335="Delta",B335="Edo",B335="Rivers"),"South South",
    OR(B335="Ekiti",B335="Lagos",B335="Ogun",B335="Ondo",B335="Osun",B335="Oyo"),"South West"
)</f>
        <v>North East</v>
      </c>
      <c r="H335">
        <f t="shared" si="5"/>
        <v>500</v>
      </c>
    </row>
    <row r="336" spans="1:8" x14ac:dyDescent="0.35">
      <c r="A336" s="5">
        <v>2021</v>
      </c>
      <c r="B336" s="5" t="s">
        <v>14</v>
      </c>
      <c r="C336">
        <v>6250</v>
      </c>
      <c r="D336" s="5">
        <v>6250</v>
      </c>
      <c r="E336" s="6">
        <v>500</v>
      </c>
      <c r="F336" s="7">
        <v>5750</v>
      </c>
      <c r="G336" t="str" cm="1">
        <f t="array" ref="G336">_xlfn.IFS(
    OR(B336="Benue",B336="Kogi",B336="Kwara",B336="Nasarawa",B336="Niger",B336="Plateau",B336="FCT"),"North Central",
    OR(B336="Adamawa",B336="Bauchi",B336="Borno",B336="Gombe",B336="Taraba",B336="Yobe"),"North East",
    OR(B336="Kaduna",B336="Kano",B336="Katsina",B336="Kebbi",B336="Sokoto",B336="Zamfara","Jigawa"),"North West",
    OR(B336="Abia",B336="Anambra",B336="Ebonyi",B336="Enugu",B336="Imo"),"South East",
    OR(B336="Akwa Ibom",B336="Bayelsa",B336="Cross River",B336="Delta",B336="Edo",B336="Rivers"),"South South",
    OR(B336="Ekiti",B336="Lagos",B336="Ogun",B336="Ondo",B336="Osun",B336="Oyo"),"South West"
)</f>
        <v>North East</v>
      </c>
      <c r="H336">
        <f t="shared" si="5"/>
        <v>6250</v>
      </c>
    </row>
    <row r="337" spans="1:8" x14ac:dyDescent="0.35">
      <c r="A337" s="5">
        <v>2021</v>
      </c>
      <c r="B337" s="5" t="s">
        <v>14</v>
      </c>
      <c r="C337">
        <v>6200</v>
      </c>
      <c r="D337" s="5">
        <v>6200</v>
      </c>
      <c r="E337" s="6">
        <v>407</v>
      </c>
      <c r="F337" s="7">
        <v>5793</v>
      </c>
      <c r="G337" t="str" cm="1">
        <f t="array" ref="G337">_xlfn.IFS(
    OR(B337="Benue",B337="Kogi",B337="Kwara",B337="Nasarawa",B337="Niger",B337="Plateau",B337="FCT"),"North Central",
    OR(B337="Adamawa",B337="Bauchi",B337="Borno",B337="Gombe",B337="Taraba",B337="Yobe"),"North East",
    OR(B337="Kaduna",B337="Kano",B337="Katsina",B337="Kebbi",B337="Sokoto",B337="Zamfara","Jigawa"),"North West",
    OR(B337="Abia",B337="Anambra",B337="Ebonyi",B337="Enugu",B337="Imo"),"South East",
    OR(B337="Akwa Ibom",B337="Bayelsa",B337="Cross River",B337="Delta",B337="Edo",B337="Rivers"),"South South",
    OR(B337="Ekiti",B337="Lagos",B337="Ogun",B337="Ondo",B337="Osun",B337="Oyo"),"South West"
)</f>
        <v>North East</v>
      </c>
      <c r="H337">
        <f t="shared" si="5"/>
        <v>6200</v>
      </c>
    </row>
    <row r="338" spans="1:8" x14ac:dyDescent="0.35">
      <c r="A338" s="5">
        <v>2021</v>
      </c>
      <c r="B338" s="5" t="s">
        <v>14</v>
      </c>
      <c r="C338">
        <v>1500</v>
      </c>
      <c r="D338" s="5">
        <v>1500</v>
      </c>
      <c r="E338" s="6">
        <v>10</v>
      </c>
      <c r="F338" s="7">
        <v>1490</v>
      </c>
      <c r="G338" t="str" cm="1">
        <f t="array" ref="G338">_xlfn.IFS(
    OR(B338="Benue",B338="Kogi",B338="Kwara",B338="Nasarawa",B338="Niger",B338="Plateau",B338="FCT"),"North Central",
    OR(B338="Adamawa",B338="Bauchi",B338="Borno",B338="Gombe",B338="Taraba",B338="Yobe"),"North East",
    OR(B338="Kaduna",B338="Kano",B338="Katsina",B338="Kebbi",B338="Sokoto",B338="Zamfara","Jigawa"),"North West",
    OR(B338="Abia",B338="Anambra",B338="Ebonyi",B338="Enugu",B338="Imo"),"South East",
    OR(B338="Akwa Ibom",B338="Bayelsa",B338="Cross River",B338="Delta",B338="Edo",B338="Rivers"),"South South",
    OR(B338="Ekiti",B338="Lagos",B338="Ogun",B338="Ondo",B338="Osun",B338="Oyo"),"South West"
)</f>
        <v>North East</v>
      </c>
      <c r="H338">
        <f t="shared" si="5"/>
        <v>1500</v>
      </c>
    </row>
    <row r="339" spans="1:8" x14ac:dyDescent="0.35">
      <c r="A339" s="5">
        <v>2021</v>
      </c>
      <c r="B339" s="5" t="s">
        <v>14</v>
      </c>
      <c r="C339">
        <v>2000</v>
      </c>
      <c r="D339" s="5">
        <v>2000</v>
      </c>
      <c r="E339" s="6">
        <v>16</v>
      </c>
      <c r="F339" s="7">
        <v>1984</v>
      </c>
      <c r="G339" t="str" cm="1">
        <f t="array" ref="G339">_xlfn.IFS(
    OR(B339="Benue",B339="Kogi",B339="Kwara",B339="Nasarawa",B339="Niger",B339="Plateau",B339="FCT"),"North Central",
    OR(B339="Adamawa",B339="Bauchi",B339="Borno",B339="Gombe",B339="Taraba",B339="Yobe"),"North East",
    OR(B339="Kaduna",B339="Kano",B339="Katsina",B339="Kebbi",B339="Sokoto",B339="Zamfara","Jigawa"),"North West",
    OR(B339="Abia",B339="Anambra",B339="Ebonyi",B339="Enugu",B339="Imo"),"South East",
    OR(B339="Akwa Ibom",B339="Bayelsa",B339="Cross River",B339="Delta",B339="Edo",B339="Rivers"),"South South",
    OR(B339="Ekiti",B339="Lagos",B339="Ogun",B339="Ondo",B339="Osun",B339="Oyo"),"South West"
)</f>
        <v>North East</v>
      </c>
      <c r="H339">
        <f t="shared" si="5"/>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2131-E843-4F62-B7AD-1B6100650E42}">
  <dimension ref="A3:D97"/>
  <sheetViews>
    <sheetView topLeftCell="A35" zoomScale="71" workbookViewId="0">
      <selection activeCell="B66" sqref="B66"/>
    </sheetView>
  </sheetViews>
  <sheetFormatPr defaultRowHeight="14.5" x14ac:dyDescent="0.35"/>
  <cols>
    <col min="1" max="1" width="13.81640625" bestFit="1" customWidth="1"/>
    <col min="2" max="2" width="12.08984375" bestFit="1" customWidth="1"/>
    <col min="3" max="3" width="12.7265625" bestFit="1" customWidth="1"/>
    <col min="4" max="4" width="28" bestFit="1" customWidth="1"/>
    <col min="5" max="5" width="17.26953125" bestFit="1" customWidth="1"/>
    <col min="6" max="6" width="18" bestFit="1" customWidth="1"/>
    <col min="7" max="7" width="33.08984375" bestFit="1" customWidth="1"/>
    <col min="8" max="8" width="11.81640625" bestFit="1" customWidth="1"/>
    <col min="9" max="9" width="12.1796875" bestFit="1" customWidth="1"/>
    <col min="10" max="10" width="26.54296875" bestFit="1" customWidth="1"/>
    <col min="11" max="11" width="11.81640625" bestFit="1" customWidth="1"/>
    <col min="12" max="12" width="12.1796875" bestFit="1" customWidth="1"/>
    <col min="13" max="13" width="26.54296875" bestFit="1" customWidth="1"/>
    <col min="14" max="14" width="11.81640625" bestFit="1" customWidth="1"/>
    <col min="15" max="15" width="12.1796875" bestFit="1" customWidth="1"/>
    <col min="16" max="16" width="26.54296875" bestFit="1" customWidth="1"/>
    <col min="17" max="17" width="16.6328125" bestFit="1" customWidth="1"/>
    <col min="18" max="18" width="17.08984375" bestFit="1" customWidth="1"/>
    <col min="19" max="19" width="31.36328125" bestFit="1" customWidth="1"/>
    <col min="20" max="20" width="16.6328125" bestFit="1" customWidth="1"/>
    <col min="21" max="21" width="17.08984375" bestFit="1" customWidth="1"/>
    <col min="22" max="22" width="31.36328125" bestFit="1" customWidth="1"/>
  </cols>
  <sheetData>
    <row r="3" spans="1:2" x14ac:dyDescent="0.35">
      <c r="A3" s="17" t="s">
        <v>38</v>
      </c>
      <c r="B3" t="s">
        <v>40</v>
      </c>
    </row>
    <row r="4" spans="1:2" x14ac:dyDescent="0.35">
      <c r="A4" s="18">
        <v>2020</v>
      </c>
      <c r="B4" s="19">
        <v>0</v>
      </c>
    </row>
    <row r="5" spans="1:2" x14ac:dyDescent="0.35">
      <c r="A5" s="18">
        <v>2021</v>
      </c>
      <c r="B5" s="19">
        <v>1310578</v>
      </c>
    </row>
    <row r="6" spans="1:2" x14ac:dyDescent="0.35">
      <c r="A6" s="18">
        <v>2022</v>
      </c>
      <c r="B6" s="19">
        <v>995501</v>
      </c>
    </row>
    <row r="7" spans="1:2" x14ac:dyDescent="0.35">
      <c r="A7" s="18">
        <v>2023</v>
      </c>
      <c r="B7" s="19">
        <v>83948</v>
      </c>
    </row>
    <row r="8" spans="1:2" x14ac:dyDescent="0.35">
      <c r="A8" s="18">
        <v>2024</v>
      </c>
      <c r="B8" s="19">
        <v>4106</v>
      </c>
    </row>
    <row r="9" spans="1:2" x14ac:dyDescent="0.35">
      <c r="A9" s="18">
        <v>2025</v>
      </c>
      <c r="B9" s="19">
        <v>50</v>
      </c>
    </row>
    <row r="10" spans="1:2" x14ac:dyDescent="0.35">
      <c r="A10" s="18" t="s">
        <v>39</v>
      </c>
      <c r="B10" s="19">
        <v>2394183</v>
      </c>
    </row>
    <row r="13" spans="1:2" x14ac:dyDescent="0.35">
      <c r="A13" s="17" t="s">
        <v>38</v>
      </c>
      <c r="B13" t="s">
        <v>48</v>
      </c>
    </row>
    <row r="14" spans="1:2" x14ac:dyDescent="0.35">
      <c r="A14" s="18">
        <v>2020</v>
      </c>
      <c r="B14" s="19">
        <v>63</v>
      </c>
    </row>
    <row r="15" spans="1:2" x14ac:dyDescent="0.35">
      <c r="A15" s="18">
        <v>2021</v>
      </c>
      <c r="B15" s="19">
        <v>1323227</v>
      </c>
    </row>
    <row r="16" spans="1:2" x14ac:dyDescent="0.35">
      <c r="A16" s="18">
        <v>2022</v>
      </c>
      <c r="B16" s="19">
        <v>996001</v>
      </c>
    </row>
    <row r="17" spans="1:2" x14ac:dyDescent="0.35">
      <c r="A17" s="18">
        <v>2023</v>
      </c>
      <c r="B17" s="19">
        <v>83948</v>
      </c>
    </row>
    <row r="18" spans="1:2" x14ac:dyDescent="0.35">
      <c r="A18" s="18">
        <v>2024</v>
      </c>
      <c r="B18" s="19">
        <v>4106</v>
      </c>
    </row>
    <row r="19" spans="1:2" x14ac:dyDescent="0.35">
      <c r="A19" s="18">
        <v>2025</v>
      </c>
      <c r="B19" s="19">
        <v>50</v>
      </c>
    </row>
    <row r="20" spans="1:2" x14ac:dyDescent="0.35">
      <c r="A20" s="18" t="s">
        <v>39</v>
      </c>
      <c r="B20" s="19">
        <v>2407395</v>
      </c>
    </row>
    <row r="64" spans="1:4" x14ac:dyDescent="0.35">
      <c r="A64" s="17" t="s">
        <v>38</v>
      </c>
      <c r="B64" t="s">
        <v>40</v>
      </c>
      <c r="C64" t="s">
        <v>41</v>
      </c>
      <c r="D64" t="s">
        <v>42</v>
      </c>
    </row>
    <row r="65" spans="1:4" x14ac:dyDescent="0.35">
      <c r="A65" s="18" t="s">
        <v>31</v>
      </c>
      <c r="B65" s="19">
        <v>10500</v>
      </c>
      <c r="C65" s="19">
        <v>5100</v>
      </c>
      <c r="D65" s="19">
        <v>5400</v>
      </c>
    </row>
    <row r="66" spans="1:4" x14ac:dyDescent="0.35">
      <c r="A66" s="18" t="s">
        <v>33</v>
      </c>
      <c r="B66" s="19">
        <v>17000</v>
      </c>
      <c r="C66" s="19">
        <v>3200</v>
      </c>
      <c r="D66" s="19">
        <v>13800</v>
      </c>
    </row>
    <row r="67" spans="1:4" x14ac:dyDescent="0.35">
      <c r="A67" s="18" t="s">
        <v>36</v>
      </c>
      <c r="B67" s="19">
        <v>4964</v>
      </c>
      <c r="C67" s="19">
        <v>3964</v>
      </c>
      <c r="D67" s="19">
        <v>1000</v>
      </c>
    </row>
    <row r="68" spans="1:4" x14ac:dyDescent="0.35">
      <c r="A68" s="18" t="s">
        <v>29</v>
      </c>
      <c r="B68" s="19">
        <v>16700</v>
      </c>
      <c r="C68" s="19">
        <v>4100</v>
      </c>
      <c r="D68" s="19">
        <v>12600</v>
      </c>
    </row>
    <row r="69" spans="1:4" x14ac:dyDescent="0.35">
      <c r="A69" s="18" t="s">
        <v>14</v>
      </c>
      <c r="B69" s="19">
        <v>87457</v>
      </c>
      <c r="C69" s="19">
        <v>8533</v>
      </c>
      <c r="D69" s="19">
        <v>80970</v>
      </c>
    </row>
    <row r="70" spans="1:4" x14ac:dyDescent="0.35">
      <c r="A70" s="18" t="s">
        <v>19</v>
      </c>
      <c r="B70" s="19">
        <v>22369</v>
      </c>
      <c r="C70" s="19">
        <v>6640</v>
      </c>
      <c r="D70" s="19">
        <v>15729</v>
      </c>
    </row>
    <row r="71" spans="1:4" x14ac:dyDescent="0.35">
      <c r="A71" s="18" t="s">
        <v>34</v>
      </c>
      <c r="B71" s="19">
        <v>37</v>
      </c>
      <c r="C71" s="19">
        <v>20</v>
      </c>
      <c r="D71" s="19">
        <v>17</v>
      </c>
    </row>
    <row r="72" spans="1:4" x14ac:dyDescent="0.35">
      <c r="A72" s="18" t="s">
        <v>7</v>
      </c>
      <c r="B72" s="19">
        <v>424641</v>
      </c>
      <c r="C72" s="19">
        <v>173695</v>
      </c>
      <c r="D72" s="19">
        <v>250947</v>
      </c>
    </row>
    <row r="73" spans="1:4" x14ac:dyDescent="0.35">
      <c r="A73" s="18" t="s">
        <v>30</v>
      </c>
      <c r="B73" s="19">
        <v>500</v>
      </c>
      <c r="C73" s="19">
        <v>100</v>
      </c>
      <c r="D73" s="19">
        <v>400</v>
      </c>
    </row>
    <row r="74" spans="1:4" x14ac:dyDescent="0.35">
      <c r="A74" s="18" t="s">
        <v>22</v>
      </c>
      <c r="B74" s="19">
        <v>35019</v>
      </c>
      <c r="C74" s="19">
        <v>4453</v>
      </c>
      <c r="D74" s="19">
        <v>30566</v>
      </c>
    </row>
    <row r="75" spans="1:4" x14ac:dyDescent="0.35">
      <c r="A75" s="18" t="s">
        <v>15</v>
      </c>
      <c r="B75" s="19">
        <v>609</v>
      </c>
      <c r="C75" s="19">
        <v>305</v>
      </c>
      <c r="D75" s="19">
        <v>304</v>
      </c>
    </row>
    <row r="76" spans="1:4" x14ac:dyDescent="0.35">
      <c r="A76" s="18" t="s">
        <v>35</v>
      </c>
      <c r="B76" s="19">
        <v>3820</v>
      </c>
      <c r="C76" s="19">
        <v>1005</v>
      </c>
      <c r="D76" s="19">
        <v>2815</v>
      </c>
    </row>
    <row r="77" spans="1:4" x14ac:dyDescent="0.35">
      <c r="A77" s="18" t="s">
        <v>26</v>
      </c>
      <c r="B77" s="19">
        <v>43609</v>
      </c>
      <c r="C77" s="19">
        <v>8421</v>
      </c>
      <c r="D77" s="19">
        <v>35188</v>
      </c>
    </row>
    <row r="78" spans="1:4" x14ac:dyDescent="0.35">
      <c r="A78" s="18" t="s">
        <v>23</v>
      </c>
      <c r="B78" s="19">
        <v>38774</v>
      </c>
      <c r="C78" s="19">
        <v>11189</v>
      </c>
      <c r="D78" s="19">
        <v>27585</v>
      </c>
    </row>
    <row r="79" spans="1:4" x14ac:dyDescent="0.35">
      <c r="A79" s="18" t="s">
        <v>13</v>
      </c>
      <c r="B79" s="19">
        <v>1000</v>
      </c>
      <c r="C79" s="19">
        <v>175</v>
      </c>
      <c r="D79" s="19">
        <v>825</v>
      </c>
    </row>
    <row r="80" spans="1:4" x14ac:dyDescent="0.35">
      <c r="A80" s="18" t="s">
        <v>32</v>
      </c>
      <c r="B80" s="19">
        <v>600</v>
      </c>
      <c r="C80" s="19">
        <v>489</v>
      </c>
      <c r="D80" s="19">
        <v>111</v>
      </c>
    </row>
    <row r="81" spans="1:4" x14ac:dyDescent="0.35">
      <c r="A81" s="18" t="s">
        <v>24</v>
      </c>
      <c r="B81" s="19">
        <v>123510</v>
      </c>
      <c r="C81" s="19">
        <v>23680</v>
      </c>
      <c r="D81" s="19">
        <v>106735</v>
      </c>
    </row>
    <row r="82" spans="1:4" x14ac:dyDescent="0.35">
      <c r="A82" s="18" t="s">
        <v>6</v>
      </c>
      <c r="B82" s="19">
        <v>530860</v>
      </c>
      <c r="C82" s="19">
        <v>93335</v>
      </c>
      <c r="D82" s="19">
        <v>440995</v>
      </c>
    </row>
    <row r="83" spans="1:4" x14ac:dyDescent="0.35">
      <c r="A83" s="18" t="s">
        <v>16</v>
      </c>
      <c r="B83" s="19">
        <v>155739</v>
      </c>
      <c r="C83" s="19">
        <v>13588</v>
      </c>
      <c r="D83" s="19">
        <v>142151</v>
      </c>
    </row>
    <row r="84" spans="1:4" x14ac:dyDescent="0.35">
      <c r="A84" s="18" t="s">
        <v>8</v>
      </c>
      <c r="B84" s="19">
        <v>189</v>
      </c>
      <c r="C84" s="19">
        <v>125</v>
      </c>
      <c r="D84" s="19">
        <v>64</v>
      </c>
    </row>
    <row r="85" spans="1:4" x14ac:dyDescent="0.35">
      <c r="A85" s="18" t="s">
        <v>25</v>
      </c>
      <c r="B85" s="19">
        <v>2000</v>
      </c>
      <c r="C85" s="19">
        <v>50</v>
      </c>
      <c r="D85" s="19">
        <v>1950</v>
      </c>
    </row>
    <row r="86" spans="1:4" x14ac:dyDescent="0.35">
      <c r="A86" s="18" t="s">
        <v>11</v>
      </c>
      <c r="B86" s="19">
        <v>149122</v>
      </c>
      <c r="C86" s="19">
        <v>16095</v>
      </c>
      <c r="D86" s="19">
        <v>133027</v>
      </c>
    </row>
    <row r="87" spans="1:4" x14ac:dyDescent="0.35">
      <c r="A87" s="18" t="s">
        <v>28</v>
      </c>
      <c r="B87" s="19">
        <v>37418</v>
      </c>
      <c r="C87" s="19">
        <v>12330</v>
      </c>
      <c r="D87" s="19">
        <v>25088</v>
      </c>
    </row>
    <row r="88" spans="1:4" x14ac:dyDescent="0.35">
      <c r="A88" s="18" t="s">
        <v>17</v>
      </c>
      <c r="B88" s="19">
        <v>21515</v>
      </c>
      <c r="C88" s="19">
        <v>6412</v>
      </c>
      <c r="D88" s="19">
        <v>15103</v>
      </c>
    </row>
    <row r="89" spans="1:4" x14ac:dyDescent="0.35">
      <c r="A89" s="18" t="s">
        <v>10</v>
      </c>
      <c r="B89" s="19">
        <v>231412</v>
      </c>
      <c r="C89" s="19">
        <v>42138</v>
      </c>
      <c r="D89" s="19">
        <v>189274</v>
      </c>
    </row>
    <row r="90" spans="1:4" x14ac:dyDescent="0.35">
      <c r="A90" s="18" t="s">
        <v>21</v>
      </c>
      <c r="B90" s="19">
        <v>350</v>
      </c>
      <c r="C90" s="19">
        <v>245</v>
      </c>
      <c r="D90" s="19">
        <v>105</v>
      </c>
    </row>
    <row r="91" spans="1:4" x14ac:dyDescent="0.35">
      <c r="A91" s="18" t="s">
        <v>20</v>
      </c>
      <c r="B91" s="19">
        <v>19648</v>
      </c>
      <c r="C91" s="19">
        <v>4270</v>
      </c>
      <c r="D91" s="19">
        <v>15578</v>
      </c>
    </row>
    <row r="92" spans="1:4" x14ac:dyDescent="0.35">
      <c r="A92" s="18" t="s">
        <v>9</v>
      </c>
      <c r="B92" s="19">
        <v>175570</v>
      </c>
      <c r="C92" s="19">
        <v>34663</v>
      </c>
      <c r="D92" s="19">
        <v>141497</v>
      </c>
    </row>
    <row r="93" spans="1:4" x14ac:dyDescent="0.35">
      <c r="A93" s="18" t="s">
        <v>12</v>
      </c>
      <c r="B93" s="19">
        <v>48551</v>
      </c>
      <c r="C93" s="19">
        <v>22934</v>
      </c>
      <c r="D93" s="19">
        <v>25617</v>
      </c>
    </row>
    <row r="94" spans="1:4" x14ac:dyDescent="0.35">
      <c r="A94" s="18" t="s">
        <v>18</v>
      </c>
      <c r="B94" s="19">
        <v>700</v>
      </c>
      <c r="C94" s="19">
        <v>500</v>
      </c>
      <c r="D94" s="19">
        <v>200</v>
      </c>
    </row>
    <row r="95" spans="1:4" x14ac:dyDescent="0.35">
      <c r="A95" s="18" t="s">
        <v>37</v>
      </c>
      <c r="B95" s="19">
        <v>2000</v>
      </c>
      <c r="C95" s="19">
        <v>687</v>
      </c>
      <c r="D95" s="19">
        <v>1313</v>
      </c>
    </row>
    <row r="96" spans="1:4" x14ac:dyDescent="0.35">
      <c r="A96" s="18" t="s">
        <v>27</v>
      </c>
      <c r="B96" s="19">
        <v>188000</v>
      </c>
      <c r="C96" s="19">
        <v>30500</v>
      </c>
      <c r="D96" s="19">
        <v>157500</v>
      </c>
    </row>
    <row r="97" spans="1:4" x14ac:dyDescent="0.35">
      <c r="A97" s="18" t="s">
        <v>39</v>
      </c>
      <c r="B97" s="19">
        <v>2394183</v>
      </c>
      <c r="C97" s="19">
        <v>532941</v>
      </c>
      <c r="D97" s="19">
        <v>1874454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E98D-9EF4-4C30-990C-6C0989945175}">
  <dimension ref="A1:C23"/>
  <sheetViews>
    <sheetView topLeftCell="B1" zoomScale="89" workbookViewId="0">
      <selection activeCell="I11" sqref="I11"/>
    </sheetView>
  </sheetViews>
  <sheetFormatPr defaultRowHeight="14.5" x14ac:dyDescent="0.35"/>
  <cols>
    <col min="1" max="1" width="13.08984375" bestFit="1" customWidth="1"/>
    <col min="2" max="2" width="12.1796875" bestFit="1" customWidth="1"/>
    <col min="3" max="3" width="15.453125" bestFit="1" customWidth="1"/>
    <col min="4" max="4" width="27.54296875" bestFit="1" customWidth="1"/>
    <col min="5" max="5" width="17.1796875" bestFit="1" customWidth="1"/>
    <col min="6" max="6" width="17.6328125" bestFit="1" customWidth="1"/>
    <col min="7" max="7" width="32.54296875" bestFit="1" customWidth="1"/>
    <col min="8" max="8" width="12.1796875" bestFit="1" customWidth="1"/>
    <col min="9" max="9" width="12.54296875" bestFit="1" customWidth="1"/>
    <col min="10" max="10" width="27.54296875" bestFit="1" customWidth="1"/>
    <col min="11" max="11" width="12.1796875" bestFit="1" customWidth="1"/>
    <col min="12" max="12" width="12.54296875" bestFit="1" customWidth="1"/>
    <col min="13" max="13" width="27.54296875" bestFit="1" customWidth="1"/>
    <col min="14" max="14" width="12.1796875" bestFit="1" customWidth="1"/>
    <col min="15" max="15" width="12.54296875" bestFit="1" customWidth="1"/>
    <col min="16" max="16" width="27.54296875" bestFit="1" customWidth="1"/>
    <col min="17" max="17" width="17.1796875" bestFit="1" customWidth="1"/>
    <col min="18" max="18" width="17.6328125" bestFit="1" customWidth="1"/>
    <col min="19" max="19" width="32.54296875" bestFit="1" customWidth="1"/>
    <col min="20" max="20" width="16.6328125" bestFit="1" customWidth="1"/>
    <col min="21" max="21" width="17.08984375" bestFit="1" customWidth="1"/>
    <col min="22" max="22" width="31.36328125" bestFit="1" customWidth="1"/>
    <col min="23" max="23" width="5.453125" bestFit="1" customWidth="1"/>
    <col min="24" max="24" width="9.08984375" bestFit="1" customWidth="1"/>
    <col min="25" max="25" width="5.1796875" bestFit="1" customWidth="1"/>
    <col min="26" max="26" width="5.26953125" bestFit="1" customWidth="1"/>
    <col min="27" max="27" width="5.1796875" bestFit="1" customWidth="1"/>
    <col min="28" max="28" width="4.1796875" bestFit="1" customWidth="1"/>
    <col min="29" max="29" width="7.1796875" bestFit="1" customWidth="1"/>
    <col min="30" max="30" width="5.81640625" bestFit="1" customWidth="1"/>
    <col min="31" max="31" width="6.7265625" bestFit="1" customWidth="1"/>
    <col min="32" max="32" width="6.6328125" bestFit="1" customWidth="1"/>
    <col min="33" max="33" width="7.81640625" bestFit="1" customWidth="1"/>
    <col min="34" max="34" width="10.7265625" bestFit="1" customWidth="1"/>
  </cols>
  <sheetData>
    <row r="1" spans="1:3" x14ac:dyDescent="0.35">
      <c r="A1" s="17" t="s">
        <v>38</v>
      </c>
      <c r="B1" t="s">
        <v>40</v>
      </c>
      <c r="C1" t="s">
        <v>48</v>
      </c>
    </row>
    <row r="2" spans="1:3" x14ac:dyDescent="0.35">
      <c r="A2" s="18" t="s">
        <v>44</v>
      </c>
      <c r="B2" s="19">
        <v>126120</v>
      </c>
      <c r="C2" s="19">
        <v>126620</v>
      </c>
    </row>
    <row r="3" spans="1:3" x14ac:dyDescent="0.35">
      <c r="A3" s="18" t="s">
        <v>39</v>
      </c>
      <c r="B3" s="19">
        <v>126120</v>
      </c>
      <c r="C3" s="19">
        <v>126620</v>
      </c>
    </row>
    <row r="17" spans="1:3" x14ac:dyDescent="0.35">
      <c r="A17" s="17" t="s">
        <v>38</v>
      </c>
      <c r="B17" t="s">
        <v>40</v>
      </c>
      <c r="C17" t="s">
        <v>48</v>
      </c>
    </row>
    <row r="18" spans="1:3" x14ac:dyDescent="0.35">
      <c r="A18" s="18" t="s">
        <v>26</v>
      </c>
      <c r="B18" s="19">
        <v>41809</v>
      </c>
      <c r="C18" s="19">
        <v>41809</v>
      </c>
    </row>
    <row r="19" spans="1:3" x14ac:dyDescent="0.35">
      <c r="A19" s="18" t="s">
        <v>25</v>
      </c>
      <c r="B19" s="19">
        <v>2000</v>
      </c>
      <c r="C19" s="19">
        <v>2000</v>
      </c>
    </row>
    <row r="20" spans="1:3" x14ac:dyDescent="0.35">
      <c r="A20" s="18" t="s">
        <v>28</v>
      </c>
      <c r="B20" s="19">
        <v>30418</v>
      </c>
      <c r="C20" s="19">
        <v>30418</v>
      </c>
    </row>
    <row r="21" spans="1:3" x14ac:dyDescent="0.35">
      <c r="A21" s="18" t="s">
        <v>17</v>
      </c>
      <c r="B21" s="19">
        <v>5900</v>
      </c>
      <c r="C21" s="19">
        <v>5900</v>
      </c>
    </row>
    <row r="22" spans="1:3" x14ac:dyDescent="0.35">
      <c r="A22" s="18" t="s">
        <v>9</v>
      </c>
      <c r="B22" s="19">
        <v>45993</v>
      </c>
      <c r="C22" s="19">
        <v>46493</v>
      </c>
    </row>
    <row r="23" spans="1:3" x14ac:dyDescent="0.35">
      <c r="A23" s="18" t="s">
        <v>39</v>
      </c>
      <c r="B23" s="19">
        <v>126120</v>
      </c>
      <c r="C23" s="19">
        <v>126620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4D8F-2DD3-4978-B1E3-5E8701B5E531}">
  <dimension ref="A2:F35"/>
  <sheetViews>
    <sheetView topLeftCell="A12" workbookViewId="0">
      <selection activeCell="E3" sqref="E3:F34"/>
    </sheetView>
  </sheetViews>
  <sheetFormatPr defaultRowHeight="14.5" x14ac:dyDescent="0.35"/>
  <cols>
    <col min="5" max="5" width="12.36328125" bestFit="1" customWidth="1"/>
    <col min="6" max="6" width="15" bestFit="1" customWidth="1"/>
  </cols>
  <sheetData>
    <row r="2" spans="1:6" x14ac:dyDescent="0.35">
      <c r="E2" s="17" t="s">
        <v>38</v>
      </c>
      <c r="F2" t="s">
        <v>48</v>
      </c>
    </row>
    <row r="3" spans="1:6" x14ac:dyDescent="0.35">
      <c r="A3" s="8"/>
      <c r="B3" s="9"/>
      <c r="C3" s="10"/>
      <c r="E3" s="18" t="s">
        <v>31</v>
      </c>
      <c r="F3" s="19">
        <v>10500</v>
      </c>
    </row>
    <row r="4" spans="1:6" x14ac:dyDescent="0.35">
      <c r="A4" s="11"/>
      <c r="B4" s="12"/>
      <c r="C4" s="13"/>
      <c r="E4" s="18" t="s">
        <v>33</v>
      </c>
      <c r="F4" s="19">
        <v>17000</v>
      </c>
    </row>
    <row r="5" spans="1:6" x14ac:dyDescent="0.35">
      <c r="A5" s="11"/>
      <c r="B5" s="12"/>
      <c r="C5" s="13"/>
      <c r="E5" s="18" t="s">
        <v>36</v>
      </c>
      <c r="F5" s="19">
        <v>4964</v>
      </c>
    </row>
    <row r="6" spans="1:6" x14ac:dyDescent="0.35">
      <c r="A6" s="11"/>
      <c r="B6" s="12"/>
      <c r="C6" s="13"/>
      <c r="E6" s="18" t="s">
        <v>29</v>
      </c>
      <c r="F6" s="19">
        <v>16700</v>
      </c>
    </row>
    <row r="7" spans="1:6" x14ac:dyDescent="0.35">
      <c r="A7" s="11"/>
      <c r="B7" s="12"/>
      <c r="C7" s="13"/>
      <c r="E7" s="18" t="s">
        <v>14</v>
      </c>
      <c r="F7" s="19">
        <v>89503</v>
      </c>
    </row>
    <row r="8" spans="1:6" x14ac:dyDescent="0.35">
      <c r="A8" s="11"/>
      <c r="B8" s="12"/>
      <c r="C8" s="13"/>
      <c r="E8" s="18" t="s">
        <v>19</v>
      </c>
      <c r="F8" s="19">
        <v>22369</v>
      </c>
    </row>
    <row r="9" spans="1:6" x14ac:dyDescent="0.35">
      <c r="A9" s="11"/>
      <c r="B9" s="12"/>
      <c r="C9" s="13"/>
      <c r="E9" s="18" t="s">
        <v>34</v>
      </c>
      <c r="F9" s="19">
        <v>37</v>
      </c>
    </row>
    <row r="10" spans="1:6" x14ac:dyDescent="0.35">
      <c r="A10" s="11"/>
      <c r="B10" s="12"/>
      <c r="C10" s="13"/>
      <c r="E10" s="18" t="s">
        <v>7</v>
      </c>
      <c r="F10" s="19">
        <v>424642</v>
      </c>
    </row>
    <row r="11" spans="1:6" x14ac:dyDescent="0.35">
      <c r="A11" s="11"/>
      <c r="B11" s="12"/>
      <c r="C11" s="13"/>
      <c r="E11" s="18" t="s">
        <v>30</v>
      </c>
      <c r="F11" s="19">
        <v>500</v>
      </c>
    </row>
    <row r="12" spans="1:6" x14ac:dyDescent="0.35">
      <c r="A12" s="11"/>
      <c r="B12" s="12"/>
      <c r="C12" s="13"/>
      <c r="E12" s="18" t="s">
        <v>22</v>
      </c>
      <c r="F12" s="19">
        <v>35019</v>
      </c>
    </row>
    <row r="13" spans="1:6" x14ac:dyDescent="0.35">
      <c r="A13" s="11"/>
      <c r="B13" s="12"/>
      <c r="C13" s="13"/>
      <c r="E13" s="18" t="s">
        <v>15</v>
      </c>
      <c r="F13" s="19">
        <v>609</v>
      </c>
    </row>
    <row r="14" spans="1:6" x14ac:dyDescent="0.35">
      <c r="A14" s="11"/>
      <c r="B14" s="12"/>
      <c r="C14" s="13"/>
      <c r="E14" s="18" t="s">
        <v>35</v>
      </c>
      <c r="F14" s="19">
        <v>3820</v>
      </c>
    </row>
    <row r="15" spans="1:6" x14ac:dyDescent="0.35">
      <c r="A15" s="11"/>
      <c r="B15" s="12"/>
      <c r="C15" s="13"/>
      <c r="E15" s="18" t="s">
        <v>26</v>
      </c>
      <c r="F15" s="19">
        <v>43609</v>
      </c>
    </row>
    <row r="16" spans="1:6" x14ac:dyDescent="0.35">
      <c r="A16" s="11"/>
      <c r="B16" s="12"/>
      <c r="C16" s="13"/>
      <c r="E16" s="18" t="s">
        <v>23</v>
      </c>
      <c r="F16" s="19">
        <v>38774</v>
      </c>
    </row>
    <row r="17" spans="1:6" x14ac:dyDescent="0.35">
      <c r="A17" s="11"/>
      <c r="B17" s="12"/>
      <c r="C17" s="13"/>
      <c r="E17" s="18" t="s">
        <v>13</v>
      </c>
      <c r="F17" s="19">
        <v>1000</v>
      </c>
    </row>
    <row r="18" spans="1:6" x14ac:dyDescent="0.35">
      <c r="A18" s="11"/>
      <c r="B18" s="12"/>
      <c r="C18" s="13"/>
      <c r="E18" s="18" t="s">
        <v>32</v>
      </c>
      <c r="F18" s="19">
        <v>600</v>
      </c>
    </row>
    <row r="19" spans="1:6" x14ac:dyDescent="0.35">
      <c r="A19" s="11"/>
      <c r="B19" s="12"/>
      <c r="C19" s="13"/>
      <c r="E19" s="18" t="s">
        <v>24</v>
      </c>
      <c r="F19" s="19">
        <v>130415</v>
      </c>
    </row>
    <row r="20" spans="1:6" x14ac:dyDescent="0.35">
      <c r="A20" s="14"/>
      <c r="B20" s="15"/>
      <c r="C20" s="16"/>
      <c r="E20" s="18" t="s">
        <v>6</v>
      </c>
      <c r="F20" s="19">
        <v>534330</v>
      </c>
    </row>
    <row r="21" spans="1:6" x14ac:dyDescent="0.35">
      <c r="E21" s="18" t="s">
        <v>16</v>
      </c>
      <c r="F21" s="19">
        <v>155739</v>
      </c>
    </row>
    <row r="22" spans="1:6" x14ac:dyDescent="0.35">
      <c r="E22" s="18" t="s">
        <v>8</v>
      </c>
      <c r="F22" s="19">
        <v>189</v>
      </c>
    </row>
    <row r="23" spans="1:6" x14ac:dyDescent="0.35">
      <c r="E23" s="18" t="s">
        <v>25</v>
      </c>
      <c r="F23" s="19">
        <v>2000</v>
      </c>
    </row>
    <row r="24" spans="1:6" x14ac:dyDescent="0.35">
      <c r="E24" s="18" t="s">
        <v>11</v>
      </c>
      <c r="F24" s="19">
        <v>149122</v>
      </c>
    </row>
    <row r="25" spans="1:6" x14ac:dyDescent="0.35">
      <c r="E25" s="18" t="s">
        <v>28</v>
      </c>
      <c r="F25" s="19">
        <v>37418</v>
      </c>
    </row>
    <row r="26" spans="1:6" x14ac:dyDescent="0.35">
      <c r="E26" s="18" t="s">
        <v>17</v>
      </c>
      <c r="F26" s="19">
        <v>21515</v>
      </c>
    </row>
    <row r="27" spans="1:6" x14ac:dyDescent="0.35">
      <c r="E27" s="18" t="s">
        <v>10</v>
      </c>
      <c r="F27" s="19">
        <v>231412</v>
      </c>
    </row>
    <row r="28" spans="1:6" x14ac:dyDescent="0.35">
      <c r="E28" s="18" t="s">
        <v>21</v>
      </c>
      <c r="F28" s="19">
        <v>350</v>
      </c>
    </row>
    <row r="29" spans="1:6" x14ac:dyDescent="0.35">
      <c r="E29" s="18" t="s">
        <v>20</v>
      </c>
      <c r="F29" s="19">
        <v>19848</v>
      </c>
    </row>
    <row r="30" spans="1:6" x14ac:dyDescent="0.35">
      <c r="E30" s="18" t="s">
        <v>9</v>
      </c>
      <c r="F30" s="19">
        <v>176160</v>
      </c>
    </row>
    <row r="31" spans="1:6" x14ac:dyDescent="0.35">
      <c r="E31" s="18" t="s">
        <v>12</v>
      </c>
      <c r="F31" s="19">
        <v>48551</v>
      </c>
    </row>
    <row r="32" spans="1:6" x14ac:dyDescent="0.35">
      <c r="E32" s="18" t="s">
        <v>18</v>
      </c>
      <c r="F32" s="19">
        <v>700</v>
      </c>
    </row>
    <row r="33" spans="5:6" x14ac:dyDescent="0.35">
      <c r="E33" s="18" t="s">
        <v>37</v>
      </c>
      <c r="F33" s="19">
        <v>2000</v>
      </c>
    </row>
    <row r="34" spans="5:6" x14ac:dyDescent="0.35">
      <c r="E34" s="18" t="s">
        <v>27</v>
      </c>
      <c r="F34" s="19">
        <v>188000</v>
      </c>
    </row>
    <row r="35" spans="5:6" x14ac:dyDescent="0.35">
      <c r="E35" s="18" t="s">
        <v>39</v>
      </c>
      <c r="F35" s="19">
        <v>2407395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24EB-0A59-4931-A9B6-99C971BC0DA7}">
  <dimension ref="A1:M33"/>
  <sheetViews>
    <sheetView topLeftCell="C1" workbookViewId="0">
      <selection activeCell="L1" sqref="L1:M33"/>
    </sheetView>
  </sheetViews>
  <sheetFormatPr defaultRowHeight="14.5" x14ac:dyDescent="0.35"/>
  <sheetData>
    <row r="1" spans="1:13" x14ac:dyDescent="0.35">
      <c r="A1" t="s">
        <v>45</v>
      </c>
      <c r="B1" t="s">
        <v>3</v>
      </c>
      <c r="L1" t="s">
        <v>45</v>
      </c>
      <c r="M1" t="s">
        <v>46</v>
      </c>
    </row>
    <row r="2" spans="1:13" x14ac:dyDescent="0.35">
      <c r="A2" s="18" t="s">
        <v>31</v>
      </c>
      <c r="B2" s="19">
        <v>10500</v>
      </c>
      <c r="L2" s="18" t="s">
        <v>31</v>
      </c>
      <c r="M2" s="19">
        <v>10500</v>
      </c>
    </row>
    <row r="3" spans="1:13" x14ac:dyDescent="0.35">
      <c r="A3" s="18" t="s">
        <v>33</v>
      </c>
      <c r="B3" s="19">
        <v>17000</v>
      </c>
      <c r="L3" s="18" t="s">
        <v>33</v>
      </c>
      <c r="M3" s="19">
        <v>17000</v>
      </c>
    </row>
    <row r="4" spans="1:13" x14ac:dyDescent="0.35">
      <c r="A4" s="18" t="s">
        <v>36</v>
      </c>
      <c r="B4" s="19">
        <v>4964</v>
      </c>
      <c r="L4" s="18" t="s">
        <v>36</v>
      </c>
      <c r="M4" s="19">
        <v>4964</v>
      </c>
    </row>
    <row r="5" spans="1:13" x14ac:dyDescent="0.35">
      <c r="A5" s="18" t="s">
        <v>29</v>
      </c>
      <c r="B5" s="19">
        <v>16700</v>
      </c>
      <c r="L5" s="18" t="s">
        <v>29</v>
      </c>
      <c r="M5" s="19">
        <v>16700</v>
      </c>
    </row>
    <row r="6" spans="1:13" x14ac:dyDescent="0.35">
      <c r="A6" s="18" t="s">
        <v>14</v>
      </c>
      <c r="B6" s="19">
        <v>87457</v>
      </c>
      <c r="L6" s="18" t="s">
        <v>14</v>
      </c>
      <c r="M6" s="19">
        <v>89503</v>
      </c>
    </row>
    <row r="7" spans="1:13" x14ac:dyDescent="0.35">
      <c r="A7" s="18" t="s">
        <v>19</v>
      </c>
      <c r="B7" s="19">
        <v>22369</v>
      </c>
      <c r="L7" s="18" t="s">
        <v>19</v>
      </c>
      <c r="M7" s="19">
        <v>22369</v>
      </c>
    </row>
    <row r="8" spans="1:13" x14ac:dyDescent="0.35">
      <c r="A8" s="18" t="s">
        <v>34</v>
      </c>
      <c r="B8" s="19">
        <v>37</v>
      </c>
      <c r="L8" s="18" t="s">
        <v>34</v>
      </c>
      <c r="M8" s="19">
        <v>37</v>
      </c>
    </row>
    <row r="9" spans="1:13" x14ac:dyDescent="0.35">
      <c r="A9" s="18" t="s">
        <v>7</v>
      </c>
      <c r="B9" s="19">
        <v>424641</v>
      </c>
      <c r="L9" s="18" t="s">
        <v>7</v>
      </c>
      <c r="M9" s="19">
        <v>424642</v>
      </c>
    </row>
    <row r="10" spans="1:13" x14ac:dyDescent="0.35">
      <c r="A10" s="18" t="s">
        <v>30</v>
      </c>
      <c r="B10" s="19">
        <v>500</v>
      </c>
      <c r="L10" s="18" t="s">
        <v>30</v>
      </c>
      <c r="M10" s="19">
        <v>500</v>
      </c>
    </row>
    <row r="11" spans="1:13" x14ac:dyDescent="0.35">
      <c r="A11" s="18" t="s">
        <v>22</v>
      </c>
      <c r="B11" s="19">
        <v>35019</v>
      </c>
      <c r="L11" s="18" t="s">
        <v>22</v>
      </c>
      <c r="M11" s="19">
        <v>35019</v>
      </c>
    </row>
    <row r="12" spans="1:13" x14ac:dyDescent="0.35">
      <c r="A12" s="18" t="s">
        <v>15</v>
      </c>
      <c r="B12" s="19">
        <v>609</v>
      </c>
      <c r="L12" s="18" t="s">
        <v>15</v>
      </c>
      <c r="M12" s="19">
        <v>609</v>
      </c>
    </row>
    <row r="13" spans="1:13" x14ac:dyDescent="0.35">
      <c r="A13" s="18" t="s">
        <v>35</v>
      </c>
      <c r="B13" s="19">
        <v>3820</v>
      </c>
      <c r="L13" s="18" t="s">
        <v>35</v>
      </c>
      <c r="M13" s="19">
        <v>3820</v>
      </c>
    </row>
    <row r="14" spans="1:13" x14ac:dyDescent="0.35">
      <c r="A14" s="18" t="s">
        <v>26</v>
      </c>
      <c r="B14" s="19">
        <v>43609</v>
      </c>
      <c r="L14" s="18" t="s">
        <v>26</v>
      </c>
      <c r="M14" s="19">
        <v>43609</v>
      </c>
    </row>
    <row r="15" spans="1:13" x14ac:dyDescent="0.35">
      <c r="A15" s="18" t="s">
        <v>23</v>
      </c>
      <c r="B15" s="19">
        <v>38774</v>
      </c>
      <c r="L15" s="18" t="s">
        <v>23</v>
      </c>
      <c r="M15" s="19">
        <v>38774</v>
      </c>
    </row>
    <row r="16" spans="1:13" x14ac:dyDescent="0.35">
      <c r="A16" s="18" t="s">
        <v>13</v>
      </c>
      <c r="B16" s="19">
        <v>1000</v>
      </c>
      <c r="L16" s="18" t="s">
        <v>13</v>
      </c>
      <c r="M16" s="19">
        <v>1000</v>
      </c>
    </row>
    <row r="17" spans="1:13" x14ac:dyDescent="0.35">
      <c r="A17" s="18" t="s">
        <v>32</v>
      </c>
      <c r="B17" s="19">
        <v>600</v>
      </c>
      <c r="L17" s="18" t="s">
        <v>32</v>
      </c>
      <c r="M17" s="19">
        <v>600</v>
      </c>
    </row>
    <row r="18" spans="1:13" x14ac:dyDescent="0.35">
      <c r="A18" s="18" t="s">
        <v>24</v>
      </c>
      <c r="B18" s="19">
        <v>123510</v>
      </c>
      <c r="L18" s="18" t="s">
        <v>24</v>
      </c>
      <c r="M18" s="19">
        <v>130415</v>
      </c>
    </row>
    <row r="19" spans="1:13" x14ac:dyDescent="0.35">
      <c r="A19" s="18" t="s">
        <v>6</v>
      </c>
      <c r="B19" s="19">
        <v>530860</v>
      </c>
      <c r="L19" s="18" t="s">
        <v>6</v>
      </c>
      <c r="M19" s="19">
        <v>534330</v>
      </c>
    </row>
    <row r="20" spans="1:13" x14ac:dyDescent="0.35">
      <c r="A20" s="18" t="s">
        <v>16</v>
      </c>
      <c r="B20" s="19">
        <v>155739</v>
      </c>
      <c r="L20" s="18" t="s">
        <v>16</v>
      </c>
      <c r="M20" s="19">
        <v>155739</v>
      </c>
    </row>
    <row r="21" spans="1:13" x14ac:dyDescent="0.35">
      <c r="A21" s="18" t="s">
        <v>8</v>
      </c>
      <c r="B21" s="19">
        <v>189</v>
      </c>
      <c r="L21" s="18" t="s">
        <v>8</v>
      </c>
      <c r="M21" s="19">
        <v>189</v>
      </c>
    </row>
    <row r="22" spans="1:13" x14ac:dyDescent="0.35">
      <c r="A22" s="18" t="s">
        <v>25</v>
      </c>
      <c r="B22" s="19">
        <v>2000</v>
      </c>
      <c r="L22" s="18" t="s">
        <v>25</v>
      </c>
      <c r="M22" s="19">
        <v>2000</v>
      </c>
    </row>
    <row r="23" spans="1:13" x14ac:dyDescent="0.35">
      <c r="A23" s="18" t="s">
        <v>11</v>
      </c>
      <c r="B23" s="19">
        <v>149122</v>
      </c>
      <c r="L23" s="18" t="s">
        <v>11</v>
      </c>
      <c r="M23" s="19">
        <v>149122</v>
      </c>
    </row>
    <row r="24" spans="1:13" x14ac:dyDescent="0.35">
      <c r="A24" s="18" t="s">
        <v>28</v>
      </c>
      <c r="B24" s="19">
        <v>37418</v>
      </c>
      <c r="L24" s="18" t="s">
        <v>28</v>
      </c>
      <c r="M24" s="19">
        <v>37418</v>
      </c>
    </row>
    <row r="25" spans="1:13" x14ac:dyDescent="0.35">
      <c r="A25" s="18" t="s">
        <v>17</v>
      </c>
      <c r="B25" s="19">
        <v>21515</v>
      </c>
      <c r="L25" s="18" t="s">
        <v>17</v>
      </c>
      <c r="M25" s="19">
        <v>21515</v>
      </c>
    </row>
    <row r="26" spans="1:13" x14ac:dyDescent="0.35">
      <c r="A26" s="18" t="s">
        <v>10</v>
      </c>
      <c r="B26" s="19">
        <v>231412</v>
      </c>
      <c r="L26" s="18" t="s">
        <v>10</v>
      </c>
      <c r="M26" s="19">
        <v>231412</v>
      </c>
    </row>
    <row r="27" spans="1:13" x14ac:dyDescent="0.35">
      <c r="A27" s="18" t="s">
        <v>21</v>
      </c>
      <c r="B27" s="19">
        <v>350</v>
      </c>
      <c r="L27" s="18" t="s">
        <v>21</v>
      </c>
      <c r="M27" s="19">
        <v>350</v>
      </c>
    </row>
    <row r="28" spans="1:13" x14ac:dyDescent="0.35">
      <c r="A28" s="18" t="s">
        <v>20</v>
      </c>
      <c r="B28" s="19">
        <v>19648</v>
      </c>
      <c r="L28" s="18" t="s">
        <v>20</v>
      </c>
      <c r="M28" s="19">
        <v>19848</v>
      </c>
    </row>
    <row r="29" spans="1:13" x14ac:dyDescent="0.35">
      <c r="A29" s="18" t="s">
        <v>9</v>
      </c>
      <c r="B29" s="19">
        <v>175570</v>
      </c>
      <c r="L29" s="18" t="s">
        <v>9</v>
      </c>
      <c r="M29" s="19">
        <v>176160</v>
      </c>
    </row>
    <row r="30" spans="1:13" x14ac:dyDescent="0.35">
      <c r="A30" s="18" t="s">
        <v>12</v>
      </c>
      <c r="B30" s="19">
        <v>48551</v>
      </c>
      <c r="L30" s="18" t="s">
        <v>12</v>
      </c>
      <c r="M30" s="19">
        <v>48551</v>
      </c>
    </row>
    <row r="31" spans="1:13" x14ac:dyDescent="0.35">
      <c r="A31" s="18" t="s">
        <v>18</v>
      </c>
      <c r="B31" s="19">
        <v>700</v>
      </c>
      <c r="L31" s="18" t="s">
        <v>18</v>
      </c>
      <c r="M31" s="19">
        <v>700</v>
      </c>
    </row>
    <row r="32" spans="1:13" x14ac:dyDescent="0.35">
      <c r="A32" s="18" t="s">
        <v>37</v>
      </c>
      <c r="B32" s="19">
        <v>2000</v>
      </c>
      <c r="L32" s="18" t="s">
        <v>37</v>
      </c>
      <c r="M32" s="19">
        <v>2000</v>
      </c>
    </row>
    <row r="33" spans="1:13" x14ac:dyDescent="0.35">
      <c r="A33" s="18" t="s">
        <v>27</v>
      </c>
      <c r="B33" s="19">
        <v>188000</v>
      </c>
      <c r="L33" s="18" t="s">
        <v>27</v>
      </c>
      <c r="M33" s="19">
        <v>188000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999B-031A-42A7-A3EC-D38DC5C5E8B4}">
  <dimension ref="C1:G1"/>
  <sheetViews>
    <sheetView tabSelected="1" topLeftCell="A52" workbookViewId="0">
      <selection activeCell="A67" sqref="A67"/>
    </sheetView>
  </sheetViews>
  <sheetFormatPr defaultRowHeight="14.5" x14ac:dyDescent="0.35"/>
  <cols>
    <col min="1" max="1" width="8.7265625" style="21"/>
    <col min="2" max="2" width="7.90625" style="21" customWidth="1"/>
    <col min="3" max="6" width="8.7265625" style="21" hidden="1" customWidth="1"/>
    <col min="7" max="7" width="85.08984375" style="21" customWidth="1"/>
    <col min="8" max="16384" width="8.7265625" style="21"/>
  </cols>
  <sheetData>
    <row r="1" spans="7:7" ht="17.5" x14ac:dyDescent="0.35">
      <c r="G1" s="20" t="s">
        <v>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HPAI</vt:lpstr>
      <vt:lpstr>Analysis</vt:lpstr>
      <vt:lpstr>Analysis 1</vt:lpstr>
      <vt:lpstr>Map Pivot</vt:lpstr>
      <vt:lpstr>Map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Eugenia Ishaku</dc:creator>
  <cp:lastModifiedBy>Eugenia Ishaku</cp:lastModifiedBy>
  <dcterms:created xsi:type="dcterms:W3CDTF">2025-09-25T00:34:16Z</dcterms:created>
  <dcterms:modified xsi:type="dcterms:W3CDTF">2025-09-25T08:22:43Z</dcterms:modified>
</cp:coreProperties>
</file>